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yla" sheetId="1" r:id="rId4"/>
    <sheet state="visible" name="Up to 2021" sheetId="2" r:id="rId5"/>
    <sheet state="visible" name="Up to 2022" sheetId="3" r:id="rId6"/>
    <sheet state="visible" name="Up to 2023" sheetId="4" r:id="rId7"/>
    <sheet state="visible" name="Up to 2024" sheetId="5" r:id="rId8"/>
    <sheet state="visible" name="Up to 2025" sheetId="6" r:id="rId9"/>
    <sheet state="visible" name="Total Samples for just SG sites" sheetId="7" r:id="rId10"/>
  </sheets>
  <definedNames/>
  <calcPr/>
  <extLst>
    <ext uri="GoogleSheetsCustomDataVersion2">
      <go:sheetsCustomData xmlns:go="http://customooxmlschemas.google.com/" r:id="rId11" roundtripDataChecksum="inlCKrpjy9sbJMFUmX5pQHLOvcb/uOsDeW3O4zFp9Bk="/>
    </ext>
  </extLst>
</workbook>
</file>

<file path=xl/sharedStrings.xml><?xml version="1.0" encoding="utf-8"?>
<sst xmlns="http://schemas.openxmlformats.org/spreadsheetml/2006/main" count="277" uniqueCount="120">
  <si>
    <t>safe</t>
  </si>
  <si>
    <t>1 OK</t>
  </si>
  <si>
    <t>2 Caution</t>
  </si>
  <si>
    <t>3 Unsafe</t>
  </si>
  <si>
    <t>Total Samples</t>
  </si>
  <si>
    <t>Canoe the Cahaba (CTC)</t>
  </si>
  <si>
    <t>old looney mill rd (OLM)</t>
  </si>
  <si>
    <t>Cahaba Confluence</t>
  </si>
  <si>
    <t>Little Cahaba Beach</t>
  </si>
  <si>
    <t>Old Overton Rd (OOR)</t>
  </si>
  <si>
    <t>Elder Street (ELD)</t>
  </si>
  <si>
    <t>Bains Bridge (BNB)</t>
  </si>
  <si>
    <t>County Rd 24</t>
  </si>
  <si>
    <t>Old Slab</t>
  </si>
  <si>
    <t>Table of Site by safe</t>
  </si>
  <si>
    <t>Site(Site)</t>
  </si>
  <si>
    <t>total</t>
  </si>
  <si>
    <t>total percentage from all samples</t>
  </si>
  <si>
    <t>out of total samples for that site</t>
  </si>
  <si>
    <t>out of total samples for that category (ok, caution, unsafe)</t>
  </si>
  <si>
    <t>AMP</t>
  </si>
  <si>
    <t>BNB</t>
  </si>
  <si>
    <t>CBR</t>
  </si>
  <si>
    <t>CCK</t>
  </si>
  <si>
    <t>CMR</t>
  </si>
  <si>
    <t>CRP</t>
  </si>
  <si>
    <t>CTC</t>
  </si>
  <si>
    <t>ELD</t>
  </si>
  <si>
    <t>GRM</t>
  </si>
  <si>
    <t>HSE</t>
  </si>
  <si>
    <t>JEM</t>
  </si>
  <si>
    <t>LCR</t>
  </si>
  <si>
    <t>LVR</t>
  </si>
  <si>
    <t>MCP</t>
  </si>
  <si>
    <t>MLP</t>
  </si>
  <si>
    <t>MNR</t>
  </si>
  <si>
    <t>MRP</t>
  </si>
  <si>
    <t>NWR</t>
  </si>
  <si>
    <t>OLM</t>
  </si>
  <si>
    <t>OOR</t>
  </si>
  <si>
    <t>ORP</t>
  </si>
  <si>
    <t>PFP</t>
  </si>
  <si>
    <t>TRS</t>
  </si>
  <si>
    <t>VSL</t>
  </si>
  <si>
    <t>Total</t>
  </si>
  <si>
    <t>for 2022 (didn't know abbreviations for some of the sites, so some left blank)</t>
  </si>
  <si>
    <t>280 - 280 Bridge</t>
  </si>
  <si>
    <t>AMP - Helena Amp</t>
  </si>
  <si>
    <t>BNB - Bains Bridge</t>
  </si>
  <si>
    <t>CBR - Cahaba Beach</t>
  </si>
  <si>
    <t>CCC - Cahaba Camp Coleman</t>
  </si>
  <si>
    <t>CCK - Caffee Creek</t>
  </si>
  <si>
    <t>CDP - Cahaba Dog Park</t>
  </si>
  <si>
    <t>CMR - Caldwell Mill</t>
  </si>
  <si>
    <t>(no longer a SG site)</t>
  </si>
  <si>
    <t>CRP - Cahaba River Park</t>
  </si>
  <si>
    <t>CTC - Canoe the Cahaba</t>
  </si>
  <si>
    <t>ELD - Elder Street</t>
  </si>
  <si>
    <t>GMR - Grants Mill</t>
  </si>
  <si>
    <t>HDT - Home Depot Trussville</t>
  </si>
  <si>
    <t>HSE - Hoover East Sports</t>
  </si>
  <si>
    <t>JEM - Jemison Park</t>
  </si>
  <si>
    <t>LCR - Little Cahaba Confluence/River</t>
  </si>
  <si>
    <t xml:space="preserve">LSC - Loch Haven Dog Park </t>
  </si>
  <si>
    <t>LMP - Leeds Memorial Park</t>
  </si>
  <si>
    <t>LVR - Living River</t>
  </si>
  <si>
    <t>MCP - McCallum Park</t>
  </si>
  <si>
    <t>MDP - Moody Park</t>
  </si>
  <si>
    <t>MLP - Meadowlawn Park</t>
  </si>
  <si>
    <t>MNR - Moon River</t>
  </si>
  <si>
    <t>MRP - Moss Rock Preserve</t>
  </si>
  <si>
    <t>NWR - Cahaba River National Wildlife Refuge</t>
  </si>
  <si>
    <t>OLM - Old Looney Mill</t>
  </si>
  <si>
    <t>OOR - Old Overton</t>
  </si>
  <si>
    <t>ORRP - Orr Park</t>
  </si>
  <si>
    <t>PFP - Pratts Ferry</t>
  </si>
  <si>
    <t>TRSP - Trussville Preserve</t>
  </si>
  <si>
    <t>for 2023</t>
  </si>
  <si>
    <t>ORR - Orr Park</t>
  </si>
  <si>
    <t>TRS (not a SG site)</t>
  </si>
  <si>
    <t>VSL (not a SG site)</t>
  </si>
  <si>
    <t>CEN - Centreville</t>
  </si>
  <si>
    <t>FLP - Flemming Park Boat Launch</t>
  </si>
  <si>
    <t>TRS (not a SG site) - Trussville Springs</t>
  </si>
  <si>
    <t>Safe</t>
  </si>
  <si>
    <t>Moderate</t>
  </si>
  <si>
    <t>Unsafe</t>
  </si>
  <si>
    <t>280 Bridge</t>
  </si>
  <si>
    <t>Helena Amphitheater</t>
  </si>
  <si>
    <t>Bains Bridge</t>
  </si>
  <si>
    <t>Cahaba Beach</t>
  </si>
  <si>
    <t>Cahaba Camp Coleman</t>
  </si>
  <si>
    <t>Caffee Creek</t>
  </si>
  <si>
    <t>Cahaba Dog Park</t>
  </si>
  <si>
    <t>Centreville</t>
  </si>
  <si>
    <t>Caldwell Mill (site yr 1-2)</t>
  </si>
  <si>
    <t>Cahaba River Park</t>
  </si>
  <si>
    <t>Canoe the Cahaba</t>
  </si>
  <si>
    <t>Elder Street</t>
  </si>
  <si>
    <t xml:space="preserve">Flemming Park </t>
  </si>
  <si>
    <t>Grants Mill</t>
  </si>
  <si>
    <t>Home Depot Trussville</t>
  </si>
  <si>
    <t>Hoover East Sports</t>
  </si>
  <si>
    <t>Jemison Park</t>
  </si>
  <si>
    <t>Little Cahaba Confluence</t>
  </si>
  <si>
    <t xml:space="preserve">Loch Haven Dog Park </t>
  </si>
  <si>
    <t>Leeds Memorial Park</t>
  </si>
  <si>
    <t>Living River</t>
  </si>
  <si>
    <t>McCallum Park</t>
  </si>
  <si>
    <t>Moody Park</t>
  </si>
  <si>
    <t>Meadowlawn Park</t>
  </si>
  <si>
    <t>Moon River</t>
  </si>
  <si>
    <t>Moss Rock Preserve</t>
  </si>
  <si>
    <t>Cahaba River National Wildlife Refuge</t>
  </si>
  <si>
    <t>Old Looney Mill</t>
  </si>
  <si>
    <t>Old Overton</t>
  </si>
  <si>
    <t>Orr Park</t>
  </si>
  <si>
    <t>Pratts Ferry</t>
  </si>
  <si>
    <t>Trussville Preserve</t>
  </si>
  <si>
    <t>Trussville Springs (site yr 1-2)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</si>
</sst>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2" xfId="0" applyFont="1" applyNumberFormat="1"/>
    <xf borderId="0" fillId="0" fontId="1" numFmtId="0" xfId="0" applyAlignment="1" applyFont="1">
      <alignment horizontal="left"/>
    </xf>
    <xf borderId="0" fillId="0" fontId="3" numFmtId="0" xfId="0" applyFont="1"/>
    <xf borderId="0" fillId="2" fontId="1" numFmtId="0" xfId="0" applyFill="1" applyFont="1"/>
    <xf borderId="0" fillId="0" fontId="2" numFmtId="164" xfId="0" applyFont="1" applyNumberFormat="1"/>
    <xf borderId="0" fillId="3" fontId="4" numFmtId="2" xfId="0" applyFill="1" applyFont="1" applyNumberFormat="1"/>
    <xf borderId="0" fillId="0" fontId="5" numFmtId="2" xfId="0" applyFont="1" applyNumberFormat="1"/>
    <xf borderId="0" fillId="0" fontId="2" numFmtId="165" xfId="0" applyFont="1" applyNumberFormat="1"/>
    <xf borderId="0" fillId="3" fontId="6" numFmtId="164" xfId="0" applyFont="1" applyNumberFormat="1"/>
    <xf borderId="0" fillId="0" fontId="2" numFmtId="166" xfId="0" applyFont="1" applyNumberFormat="1"/>
    <xf borderId="0" fillId="0" fontId="5" numFmtId="164" xfId="0" applyFont="1" applyNumberFormat="1"/>
    <xf borderId="0" fillId="3" fontId="4" numFmtId="164" xfId="0" applyFont="1" applyNumberFormat="1"/>
    <xf borderId="0" fillId="3" fontId="4" numFmtId="166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Jayla!$G$10:$I$10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Swim Guide Historic Data (2014-2023)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'Up to 2023'!$B$133:$D$133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Swim Guide Historic Data (2014-2024)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'Up to 2024'!$B$133:$D$133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'Up to 2024'!$G$133:$I$133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Swim Guide Historic Data (2014-2023)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'Up to 2025'!$B$141:$D$141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'Up to 2025'!$G$141:$I$141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11</xdr:row>
      <xdr:rowOff>66675</xdr:rowOff>
    </xdr:from>
    <xdr:ext cx="5724525" cy="3543300"/>
    <xdr:graphicFrame>
      <xdr:nvGraphicFramePr>
        <xdr:cNvPr id="85841714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125</xdr:row>
      <xdr:rowOff>114300</xdr:rowOff>
    </xdr:from>
    <xdr:ext cx="3324225" cy="2057400"/>
    <xdr:graphicFrame>
      <xdr:nvGraphicFramePr>
        <xdr:cNvPr id="103563609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138</xdr:row>
      <xdr:rowOff>38100</xdr:rowOff>
    </xdr:from>
    <xdr:ext cx="3324225" cy="2057400"/>
    <xdr:graphicFrame>
      <xdr:nvGraphicFramePr>
        <xdr:cNvPr id="167590310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400050</xdr:colOff>
      <xdr:row>135</xdr:row>
      <xdr:rowOff>76200</xdr:rowOff>
    </xdr:from>
    <xdr:ext cx="5715000" cy="3533775"/>
    <xdr:graphicFrame>
      <xdr:nvGraphicFramePr>
        <xdr:cNvPr id="1235467967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146</xdr:row>
      <xdr:rowOff>38100</xdr:rowOff>
    </xdr:from>
    <xdr:ext cx="3324225" cy="2057400"/>
    <xdr:graphicFrame>
      <xdr:nvGraphicFramePr>
        <xdr:cNvPr id="324996262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400050</xdr:colOff>
      <xdr:row>143</xdr:row>
      <xdr:rowOff>76200</xdr:rowOff>
    </xdr:from>
    <xdr:ext cx="5715000" cy="3533775"/>
    <xdr:graphicFrame>
      <xdr:nvGraphicFramePr>
        <xdr:cNvPr id="125054886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CC4125"/>
      </a:accent2>
      <a:accent3>
        <a:srgbClr val="A5A5A5"/>
      </a:accent3>
      <a:accent4>
        <a:srgbClr val="FFEC65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</cols>
  <sheetData>
    <row r="1">
      <c r="B1" s="1" t="s">
        <v>0</v>
      </c>
      <c r="C1" s="1"/>
      <c r="D1" s="1"/>
      <c r="E1" s="1"/>
      <c r="G1" s="1" t="s">
        <v>0</v>
      </c>
      <c r="H1" s="1"/>
      <c r="I1" s="1"/>
      <c r="J1" s="1"/>
    </row>
    <row r="2">
      <c r="B2" s="1" t="s">
        <v>1</v>
      </c>
      <c r="C2" s="1" t="s">
        <v>2</v>
      </c>
      <c r="D2" s="1" t="s">
        <v>3</v>
      </c>
      <c r="E2" s="1" t="s">
        <v>4</v>
      </c>
      <c r="G2" s="1" t="s">
        <v>1</v>
      </c>
      <c r="H2" s="1" t="s">
        <v>2</v>
      </c>
      <c r="I2" s="1" t="s">
        <v>3</v>
      </c>
      <c r="J2" s="1"/>
    </row>
    <row r="3">
      <c r="A3" s="2" t="s">
        <v>5</v>
      </c>
      <c r="B3" s="2">
        <v>86.0</v>
      </c>
      <c r="C3" s="2">
        <v>8.0</v>
      </c>
      <c r="D3" s="2">
        <v>23.0</v>
      </c>
      <c r="E3" s="2">
        <v>117.0</v>
      </c>
      <c r="G3" s="3">
        <f t="shared" ref="G3:I3" si="1">(B3/$E$3)*100</f>
        <v>73.5042735</v>
      </c>
      <c r="H3" s="3">
        <f t="shared" si="1"/>
        <v>6.837606838</v>
      </c>
      <c r="I3" s="3">
        <f t="shared" si="1"/>
        <v>19.65811966</v>
      </c>
    </row>
    <row r="4">
      <c r="A4" s="2" t="s">
        <v>6</v>
      </c>
      <c r="B4" s="2">
        <v>106.0</v>
      </c>
      <c r="C4" s="2">
        <v>19.0</v>
      </c>
      <c r="D4" s="2">
        <v>14.0</v>
      </c>
      <c r="E4" s="2">
        <v>139.0</v>
      </c>
      <c r="G4" s="3">
        <f t="shared" ref="G4:I4" si="2">(B4/$E$4)*100</f>
        <v>76.25899281</v>
      </c>
      <c r="H4" s="3">
        <f t="shared" si="2"/>
        <v>13.66906475</v>
      </c>
      <c r="I4" s="3">
        <f t="shared" si="2"/>
        <v>10.07194245</v>
      </c>
    </row>
    <row r="5">
      <c r="A5" s="2">
        <v>280.0</v>
      </c>
      <c r="B5" s="2">
        <v>112.0</v>
      </c>
      <c r="C5" s="2">
        <v>17.0</v>
      </c>
      <c r="D5" s="2">
        <v>11.0</v>
      </c>
      <c r="E5" s="2">
        <v>140.0</v>
      </c>
      <c r="G5" s="3">
        <f t="shared" ref="G5:I5" si="3">(B5/$E$5)*100</f>
        <v>80</v>
      </c>
      <c r="H5" s="3">
        <f t="shared" si="3"/>
        <v>12.14285714</v>
      </c>
      <c r="I5" s="3">
        <f t="shared" si="3"/>
        <v>7.857142857</v>
      </c>
    </row>
    <row r="6">
      <c r="A6" s="2" t="s">
        <v>7</v>
      </c>
    </row>
    <row r="7">
      <c r="A7" s="2" t="s">
        <v>8</v>
      </c>
    </row>
    <row r="8">
      <c r="A8" s="2" t="s">
        <v>9</v>
      </c>
      <c r="B8" s="2">
        <v>119.0</v>
      </c>
      <c r="C8" s="2">
        <v>9.0</v>
      </c>
      <c r="D8" s="2">
        <v>10.0</v>
      </c>
      <c r="E8" s="2">
        <v>138.0</v>
      </c>
      <c r="G8" s="3">
        <f t="shared" ref="G8:I8" si="4">(B8/$E$8)*100</f>
        <v>86.23188406</v>
      </c>
      <c r="H8" s="3">
        <f t="shared" si="4"/>
        <v>6.52173913</v>
      </c>
      <c r="I8" s="3">
        <f t="shared" si="4"/>
        <v>7.246376812</v>
      </c>
    </row>
    <row r="9">
      <c r="A9" s="2" t="s">
        <v>10</v>
      </c>
      <c r="B9" s="2">
        <v>2.0</v>
      </c>
      <c r="C9" s="2">
        <v>28.0</v>
      </c>
      <c r="D9" s="2">
        <v>71.0</v>
      </c>
      <c r="E9" s="2">
        <v>101.0</v>
      </c>
      <c r="G9" s="3">
        <f t="shared" ref="G9:I9" si="5">(B9/$E$9)*100</f>
        <v>1.98019802</v>
      </c>
      <c r="H9" s="3">
        <f t="shared" si="5"/>
        <v>27.72277228</v>
      </c>
      <c r="I9" s="3">
        <f t="shared" si="5"/>
        <v>70.2970297</v>
      </c>
    </row>
    <row r="10">
      <c r="A10" s="2" t="s">
        <v>11</v>
      </c>
      <c r="B10" s="2">
        <v>84.0</v>
      </c>
      <c r="C10" s="2">
        <v>23.0</v>
      </c>
      <c r="D10" s="2">
        <v>32.0</v>
      </c>
      <c r="E10" s="2">
        <v>139.0</v>
      </c>
      <c r="G10" s="3">
        <f t="shared" ref="G10:I10" si="6">(B10/$E$10)*100</f>
        <v>60.43165468</v>
      </c>
      <c r="H10" s="3">
        <f t="shared" si="6"/>
        <v>16.54676259</v>
      </c>
      <c r="I10" s="3">
        <f t="shared" si="6"/>
        <v>23.02158273</v>
      </c>
    </row>
    <row r="11">
      <c r="A11" s="2" t="s">
        <v>12</v>
      </c>
    </row>
    <row r="12">
      <c r="A12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5.86"/>
    <col customWidth="1" min="3" max="26" width="8.71"/>
  </cols>
  <sheetData>
    <row r="1" ht="14.25" customHeight="1">
      <c r="A1" s="1" t="s">
        <v>14</v>
      </c>
    </row>
    <row r="2" ht="14.25" customHeight="1">
      <c r="A2" s="1" t="s">
        <v>15</v>
      </c>
      <c r="B2" s="1" t="s">
        <v>0</v>
      </c>
      <c r="C2" s="1"/>
      <c r="D2" s="1"/>
      <c r="E2" s="1"/>
    </row>
    <row r="3" ht="14.25" customHeight="1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ht="14.25" customHeight="1">
      <c r="A4" s="4">
        <v>280.0</v>
      </c>
      <c r="B4" s="2">
        <v>99.0</v>
      </c>
      <c r="C4" s="2">
        <v>15.0</v>
      </c>
      <c r="D4" s="2">
        <v>10.0</v>
      </c>
      <c r="E4" s="2">
        <v>124.0</v>
      </c>
      <c r="G4" s="2" t="s">
        <v>16</v>
      </c>
    </row>
    <row r="5" ht="14.25" customHeight="1">
      <c r="A5" s="1"/>
      <c r="B5" s="2">
        <v>5.05</v>
      </c>
      <c r="C5" s="2">
        <v>0.76</v>
      </c>
      <c r="D5" s="2">
        <v>0.51</v>
      </c>
      <c r="E5" s="2">
        <v>6.32</v>
      </c>
      <c r="G5" s="2" t="s">
        <v>17</v>
      </c>
    </row>
    <row r="6" ht="14.25" customHeight="1">
      <c r="A6" s="1"/>
      <c r="B6" s="2">
        <v>79.84</v>
      </c>
      <c r="C6" s="2">
        <v>12.1</v>
      </c>
      <c r="D6" s="2">
        <v>8.06</v>
      </c>
      <c r="G6" s="2" t="s">
        <v>18</v>
      </c>
    </row>
    <row r="7" ht="14.25" customHeight="1">
      <c r="A7" s="1"/>
      <c r="B7" s="2">
        <v>6.75</v>
      </c>
      <c r="C7" s="2">
        <v>6.55</v>
      </c>
      <c r="D7" s="2">
        <v>3.77</v>
      </c>
      <c r="G7" s="2" t="s">
        <v>19</v>
      </c>
    </row>
    <row r="8" ht="14.25" customHeight="1">
      <c r="A8" s="1" t="s">
        <v>20</v>
      </c>
      <c r="B8" s="2">
        <v>78.0</v>
      </c>
      <c r="C8" s="2">
        <v>23.0</v>
      </c>
      <c r="D8" s="2">
        <v>22.0</v>
      </c>
      <c r="E8" s="2">
        <v>123.0</v>
      </c>
    </row>
    <row r="9" ht="14.25" customHeight="1">
      <c r="A9" s="1"/>
      <c r="B9" s="2">
        <v>3.98</v>
      </c>
      <c r="C9" s="2">
        <v>1.17</v>
      </c>
      <c r="D9" s="2">
        <v>1.12</v>
      </c>
      <c r="E9" s="2">
        <v>6.27</v>
      </c>
    </row>
    <row r="10" ht="14.25" customHeight="1">
      <c r="A10" s="1"/>
      <c r="B10" s="2">
        <v>63.41</v>
      </c>
      <c r="C10" s="2">
        <v>18.7</v>
      </c>
      <c r="D10" s="2">
        <v>17.89</v>
      </c>
    </row>
    <row r="11" ht="14.25" customHeight="1">
      <c r="A11" s="1"/>
      <c r="B11" s="2">
        <v>5.32</v>
      </c>
      <c r="C11" s="2">
        <v>10.04</v>
      </c>
      <c r="D11" s="2">
        <v>8.3</v>
      </c>
    </row>
    <row r="12" ht="14.25" customHeight="1">
      <c r="A12" s="1" t="s">
        <v>21</v>
      </c>
      <c r="B12" s="2">
        <v>79.0</v>
      </c>
      <c r="C12" s="2">
        <v>19.0</v>
      </c>
      <c r="D12" s="2">
        <v>25.0</v>
      </c>
      <c r="E12" s="2">
        <v>123.0</v>
      </c>
    </row>
    <row r="13" ht="14.25" customHeight="1">
      <c r="A13" s="1"/>
      <c r="B13" s="2">
        <v>4.03</v>
      </c>
      <c r="C13" s="2">
        <v>0.97</v>
      </c>
      <c r="D13" s="2">
        <v>1.27</v>
      </c>
      <c r="E13" s="2">
        <v>6.27</v>
      </c>
    </row>
    <row r="14" ht="14.25" customHeight="1">
      <c r="A14" s="1"/>
      <c r="B14" s="2">
        <v>64.23</v>
      </c>
      <c r="C14" s="2">
        <v>15.45</v>
      </c>
      <c r="D14" s="2">
        <v>20.33</v>
      </c>
    </row>
    <row r="15" ht="14.25" customHeight="1">
      <c r="A15" s="1"/>
      <c r="B15" s="2">
        <v>5.39</v>
      </c>
      <c r="C15" s="2">
        <v>8.3</v>
      </c>
      <c r="D15" s="2">
        <v>9.43</v>
      </c>
    </row>
    <row r="16" ht="14.25" customHeight="1">
      <c r="A16" s="1" t="s">
        <v>22</v>
      </c>
      <c r="B16" s="2">
        <v>83.0</v>
      </c>
      <c r="C16" s="2">
        <v>0.0</v>
      </c>
      <c r="D16" s="2">
        <v>2.0</v>
      </c>
      <c r="E16" s="2">
        <v>85.0</v>
      </c>
    </row>
    <row r="17" ht="14.25" customHeight="1">
      <c r="A17" s="1"/>
      <c r="B17" s="2">
        <v>4.23</v>
      </c>
      <c r="C17" s="2">
        <v>0.0</v>
      </c>
      <c r="D17" s="2">
        <v>0.1</v>
      </c>
      <c r="E17" s="2">
        <v>4.33</v>
      </c>
    </row>
    <row r="18" ht="14.25" customHeight="1">
      <c r="A18" s="1"/>
      <c r="B18" s="2">
        <v>97.65</v>
      </c>
      <c r="C18" s="2">
        <v>0.0</v>
      </c>
      <c r="D18" s="2">
        <v>2.35</v>
      </c>
    </row>
    <row r="19" ht="14.25" customHeight="1">
      <c r="A19" s="1"/>
      <c r="B19" s="2">
        <v>5.66</v>
      </c>
      <c r="C19" s="2">
        <v>0.0</v>
      </c>
      <c r="D19" s="2">
        <v>0.75</v>
      </c>
    </row>
    <row r="20" ht="14.25" customHeight="1">
      <c r="A20" s="1" t="s">
        <v>23</v>
      </c>
      <c r="B20" s="2">
        <v>59.0</v>
      </c>
      <c r="C20" s="2">
        <v>4.0</v>
      </c>
      <c r="D20" s="2">
        <v>5.0</v>
      </c>
      <c r="E20" s="2">
        <v>68.0</v>
      </c>
    </row>
    <row r="21" ht="14.25" customHeight="1">
      <c r="A21" s="1"/>
      <c r="B21" s="2">
        <v>3.01</v>
      </c>
      <c r="C21" s="2">
        <v>0.2</v>
      </c>
      <c r="D21" s="2">
        <v>0.25</v>
      </c>
      <c r="E21" s="2">
        <v>3.47</v>
      </c>
    </row>
    <row r="22" ht="14.25" customHeight="1">
      <c r="A22" s="1"/>
      <c r="B22" s="2">
        <v>86.76</v>
      </c>
      <c r="C22" s="2">
        <v>5.88</v>
      </c>
      <c r="D22" s="2">
        <v>7.35</v>
      </c>
    </row>
    <row r="23" ht="14.25" customHeight="1">
      <c r="A23" s="1"/>
      <c r="B23" s="2">
        <v>4.02</v>
      </c>
      <c r="C23" s="2">
        <v>1.75</v>
      </c>
      <c r="D23" s="2">
        <v>1.89</v>
      </c>
    </row>
    <row r="24" ht="14.25" customHeight="1">
      <c r="A24" s="1" t="s">
        <v>24</v>
      </c>
      <c r="B24" s="2">
        <v>18.0</v>
      </c>
      <c r="C24" s="2">
        <v>0.0</v>
      </c>
      <c r="D24" s="2">
        <v>0.0</v>
      </c>
      <c r="E24" s="2">
        <v>18.0</v>
      </c>
    </row>
    <row r="25" ht="14.25" customHeight="1">
      <c r="A25" s="1"/>
      <c r="B25" s="2">
        <v>0.92</v>
      </c>
      <c r="C25" s="2">
        <v>0.0</v>
      </c>
      <c r="D25" s="2">
        <v>0.0</v>
      </c>
      <c r="E25" s="2">
        <v>0.92</v>
      </c>
    </row>
    <row r="26" ht="14.25" customHeight="1">
      <c r="A26" s="1"/>
      <c r="B26" s="2">
        <v>100.0</v>
      </c>
      <c r="C26" s="2">
        <v>0.0</v>
      </c>
      <c r="D26" s="2">
        <v>0.0</v>
      </c>
    </row>
    <row r="27" ht="14.25" customHeight="1">
      <c r="A27" s="1"/>
      <c r="B27" s="2">
        <v>1.23</v>
      </c>
      <c r="C27" s="2">
        <v>0.0</v>
      </c>
      <c r="D27" s="2">
        <v>0.0</v>
      </c>
    </row>
    <row r="28" ht="14.25" customHeight="1">
      <c r="A28" s="1" t="s">
        <v>25</v>
      </c>
      <c r="B28" s="2">
        <v>67.0</v>
      </c>
      <c r="C28" s="2">
        <v>9.0</v>
      </c>
      <c r="D28" s="2">
        <v>9.0</v>
      </c>
      <c r="E28" s="2">
        <v>85.0</v>
      </c>
    </row>
    <row r="29" ht="14.25" customHeight="1">
      <c r="A29" s="1"/>
      <c r="B29" s="2">
        <v>3.42</v>
      </c>
      <c r="C29" s="2">
        <v>0.46</v>
      </c>
      <c r="D29" s="2">
        <v>0.46</v>
      </c>
      <c r="E29" s="2">
        <v>4.33</v>
      </c>
    </row>
    <row r="30" ht="14.25" customHeight="1">
      <c r="A30" s="1"/>
      <c r="B30" s="2">
        <v>78.82</v>
      </c>
      <c r="C30" s="2">
        <v>10.59</v>
      </c>
      <c r="D30" s="2">
        <v>10.59</v>
      </c>
    </row>
    <row r="31" ht="14.25" customHeight="1">
      <c r="A31" s="1"/>
      <c r="B31" s="2">
        <v>4.57</v>
      </c>
      <c r="C31" s="2">
        <v>3.93</v>
      </c>
      <c r="D31" s="2">
        <v>3.4</v>
      </c>
    </row>
    <row r="32" ht="14.25" customHeight="1">
      <c r="A32" s="1" t="s">
        <v>26</v>
      </c>
      <c r="B32" s="2">
        <v>76.0</v>
      </c>
      <c r="C32" s="2">
        <v>7.0</v>
      </c>
      <c r="D32" s="2">
        <v>19.0</v>
      </c>
      <c r="E32" s="2">
        <v>102.0</v>
      </c>
    </row>
    <row r="33" ht="14.25" customHeight="1">
      <c r="A33" s="1"/>
      <c r="B33" s="2">
        <v>3.88</v>
      </c>
      <c r="C33" s="2">
        <v>0.36</v>
      </c>
      <c r="D33" s="2">
        <v>0.97</v>
      </c>
      <c r="E33" s="2">
        <v>5.2</v>
      </c>
    </row>
    <row r="34" ht="14.25" customHeight="1">
      <c r="A34" s="1"/>
      <c r="B34" s="2">
        <v>74.51</v>
      </c>
      <c r="C34" s="2">
        <v>6.86</v>
      </c>
      <c r="D34" s="2">
        <v>18.63</v>
      </c>
    </row>
    <row r="35" ht="14.25" customHeight="1">
      <c r="A35" s="1"/>
      <c r="B35" s="2">
        <v>5.18</v>
      </c>
      <c r="C35" s="2">
        <v>3.06</v>
      </c>
      <c r="D35" s="2">
        <v>7.17</v>
      </c>
    </row>
    <row r="36" ht="14.25" customHeight="1">
      <c r="A36" s="1" t="s">
        <v>27</v>
      </c>
      <c r="B36" s="2">
        <v>2.0</v>
      </c>
      <c r="C36" s="2">
        <v>27.0</v>
      </c>
      <c r="D36" s="2">
        <v>56.0</v>
      </c>
      <c r="E36" s="2">
        <v>85.0</v>
      </c>
    </row>
    <row r="37" ht="14.25" customHeight="1">
      <c r="A37" s="1"/>
      <c r="B37" s="2">
        <v>0.1</v>
      </c>
      <c r="C37" s="2">
        <v>1.38</v>
      </c>
      <c r="D37" s="2">
        <v>2.86</v>
      </c>
      <c r="E37" s="2">
        <v>4.33</v>
      </c>
    </row>
    <row r="38" ht="14.25" customHeight="1">
      <c r="A38" s="1"/>
      <c r="B38" s="2">
        <v>2.35</v>
      </c>
      <c r="C38" s="2">
        <v>31.76</v>
      </c>
      <c r="D38" s="2">
        <v>65.88</v>
      </c>
    </row>
    <row r="39" ht="14.25" customHeight="1">
      <c r="A39" s="1"/>
      <c r="B39" s="2">
        <v>0.14</v>
      </c>
      <c r="C39" s="2">
        <v>11.79</v>
      </c>
      <c r="D39" s="2">
        <v>21.13</v>
      </c>
    </row>
    <row r="40" ht="14.25" customHeight="1">
      <c r="A40" s="1" t="s">
        <v>28</v>
      </c>
      <c r="B40" s="2">
        <v>108.0</v>
      </c>
      <c r="C40" s="2">
        <v>10.0</v>
      </c>
      <c r="D40" s="2">
        <v>5.0</v>
      </c>
      <c r="E40" s="2">
        <v>123.0</v>
      </c>
    </row>
    <row r="41" ht="14.25" customHeight="1">
      <c r="A41" s="1"/>
      <c r="B41" s="2">
        <v>5.51</v>
      </c>
      <c r="C41" s="2">
        <v>0.51</v>
      </c>
      <c r="D41" s="2">
        <v>0.25</v>
      </c>
      <c r="E41" s="2">
        <v>6.27</v>
      </c>
    </row>
    <row r="42" ht="14.25" customHeight="1">
      <c r="A42" s="1"/>
      <c r="B42" s="2">
        <v>87.8</v>
      </c>
      <c r="C42" s="2">
        <v>8.13</v>
      </c>
      <c r="D42" s="2">
        <v>4.07</v>
      </c>
    </row>
    <row r="43" ht="14.25" customHeight="1">
      <c r="A43" s="1"/>
      <c r="B43" s="2">
        <v>7.36</v>
      </c>
      <c r="C43" s="2">
        <v>4.37</v>
      </c>
      <c r="D43" s="2">
        <v>1.89</v>
      </c>
    </row>
    <row r="44" ht="14.25" customHeight="1">
      <c r="A44" s="1" t="s">
        <v>29</v>
      </c>
      <c r="B44" s="2">
        <v>84.0</v>
      </c>
      <c r="C44" s="2">
        <v>8.0</v>
      </c>
      <c r="D44" s="2">
        <v>11.0</v>
      </c>
      <c r="E44" s="2">
        <v>103.0</v>
      </c>
    </row>
    <row r="45" ht="14.25" customHeight="1">
      <c r="A45" s="1"/>
      <c r="B45" s="2">
        <v>4.28</v>
      </c>
      <c r="C45" s="2">
        <v>0.41</v>
      </c>
      <c r="D45" s="2">
        <v>0.56</v>
      </c>
      <c r="E45" s="2">
        <v>5.25</v>
      </c>
    </row>
    <row r="46" ht="14.25" customHeight="1">
      <c r="A46" s="1"/>
      <c r="B46" s="2">
        <v>81.55</v>
      </c>
      <c r="C46" s="2">
        <v>7.77</v>
      </c>
      <c r="D46" s="2">
        <v>10.68</v>
      </c>
    </row>
    <row r="47" ht="14.25" customHeight="1">
      <c r="A47" s="1"/>
      <c r="B47" s="2">
        <v>5.73</v>
      </c>
      <c r="C47" s="2">
        <v>3.49</v>
      </c>
      <c r="D47" s="2">
        <v>4.15</v>
      </c>
    </row>
    <row r="48" ht="14.25" customHeight="1">
      <c r="A48" s="1" t="s">
        <v>30</v>
      </c>
      <c r="B48" s="2">
        <v>63.0</v>
      </c>
      <c r="C48" s="2">
        <v>18.0</v>
      </c>
      <c r="D48" s="2">
        <v>22.0</v>
      </c>
      <c r="E48" s="2">
        <v>103.0</v>
      </c>
    </row>
    <row r="49" ht="14.25" customHeight="1">
      <c r="A49" s="1"/>
      <c r="B49" s="2">
        <v>3.21</v>
      </c>
      <c r="C49" s="2">
        <v>0.92</v>
      </c>
      <c r="D49" s="2">
        <v>1.12</v>
      </c>
      <c r="E49" s="2">
        <v>5.25</v>
      </c>
    </row>
    <row r="50" ht="14.25" customHeight="1">
      <c r="A50" s="1"/>
      <c r="B50" s="2">
        <v>61.17</v>
      </c>
      <c r="C50" s="2">
        <v>17.48</v>
      </c>
      <c r="D50" s="2">
        <v>21.36</v>
      </c>
    </row>
    <row r="51" ht="14.25" customHeight="1">
      <c r="A51" s="1"/>
      <c r="B51" s="2">
        <v>4.29</v>
      </c>
      <c r="C51" s="2">
        <v>7.86</v>
      </c>
      <c r="D51" s="2">
        <v>8.3</v>
      </c>
    </row>
    <row r="52" ht="14.25" customHeight="1">
      <c r="A52" s="1" t="s">
        <v>31</v>
      </c>
      <c r="B52" s="2">
        <v>66.0</v>
      </c>
      <c r="C52" s="2">
        <v>1.0</v>
      </c>
      <c r="D52" s="2">
        <v>1.0</v>
      </c>
      <c r="E52" s="2">
        <v>68.0</v>
      </c>
    </row>
    <row r="53" ht="14.25" customHeight="1">
      <c r="A53" s="1"/>
      <c r="B53" s="2">
        <v>3.37</v>
      </c>
      <c r="C53" s="2">
        <v>0.05</v>
      </c>
      <c r="D53" s="2">
        <v>0.05</v>
      </c>
      <c r="E53" s="2">
        <v>3.47</v>
      </c>
    </row>
    <row r="54" ht="14.25" customHeight="1">
      <c r="A54" s="1"/>
      <c r="B54" s="2">
        <v>97.06</v>
      </c>
      <c r="C54" s="2">
        <v>1.47</v>
      </c>
      <c r="D54" s="2">
        <v>1.47</v>
      </c>
    </row>
    <row r="55" ht="14.25" customHeight="1">
      <c r="A55" s="1"/>
      <c r="B55" s="2">
        <v>4.5</v>
      </c>
      <c r="C55" s="2">
        <v>0.44</v>
      </c>
      <c r="D55" s="2">
        <v>0.38</v>
      </c>
    </row>
    <row r="56" ht="14.25" customHeight="1">
      <c r="A56" s="1" t="s">
        <v>32</v>
      </c>
      <c r="B56" s="2">
        <v>91.0</v>
      </c>
      <c r="C56" s="2">
        <v>6.0</v>
      </c>
      <c r="D56" s="2">
        <v>6.0</v>
      </c>
      <c r="E56" s="2">
        <v>103.0</v>
      </c>
    </row>
    <row r="57" ht="14.25" customHeight="1">
      <c r="A57" s="1"/>
      <c r="B57" s="2">
        <v>4.64</v>
      </c>
      <c r="C57" s="2">
        <v>0.31</v>
      </c>
      <c r="D57" s="2">
        <v>0.31</v>
      </c>
      <c r="E57" s="2">
        <v>5.25</v>
      </c>
    </row>
    <row r="58" ht="14.25" customHeight="1">
      <c r="A58" s="1"/>
      <c r="B58" s="2">
        <v>88.35</v>
      </c>
      <c r="C58" s="2">
        <v>5.83</v>
      </c>
      <c r="D58" s="2">
        <v>5.83</v>
      </c>
    </row>
    <row r="59" ht="14.25" customHeight="1">
      <c r="A59" s="1"/>
      <c r="B59" s="2">
        <v>6.2</v>
      </c>
      <c r="C59" s="2">
        <v>2.62</v>
      </c>
      <c r="D59" s="2">
        <v>2.26</v>
      </c>
    </row>
    <row r="60" ht="14.25" customHeight="1">
      <c r="A60" s="1" t="s">
        <v>33</v>
      </c>
      <c r="B60" s="2">
        <v>5.0</v>
      </c>
      <c r="C60" s="2">
        <v>19.0</v>
      </c>
      <c r="D60" s="2">
        <v>8.0</v>
      </c>
      <c r="E60" s="2">
        <v>32.0</v>
      </c>
    </row>
    <row r="61" ht="14.25" customHeight="1">
      <c r="A61" s="1"/>
      <c r="B61" s="2">
        <v>0.25</v>
      </c>
      <c r="C61" s="2">
        <v>0.97</v>
      </c>
      <c r="D61" s="2">
        <v>0.41</v>
      </c>
      <c r="E61" s="2">
        <v>1.63</v>
      </c>
    </row>
    <row r="62" ht="14.25" customHeight="1">
      <c r="A62" s="1"/>
      <c r="B62" s="2">
        <v>15.63</v>
      </c>
      <c r="C62" s="2">
        <v>59.38</v>
      </c>
      <c r="D62" s="2">
        <v>25.0</v>
      </c>
    </row>
    <row r="63" ht="14.25" customHeight="1">
      <c r="A63" s="1"/>
      <c r="B63" s="2">
        <v>0.34</v>
      </c>
      <c r="C63" s="2">
        <v>8.3</v>
      </c>
      <c r="D63" s="2">
        <v>3.02</v>
      </c>
    </row>
    <row r="64" ht="14.25" customHeight="1">
      <c r="A64" s="1" t="s">
        <v>34</v>
      </c>
      <c r="B64" s="2">
        <v>1.0</v>
      </c>
      <c r="C64" s="2">
        <v>7.0</v>
      </c>
      <c r="D64" s="2">
        <v>24.0</v>
      </c>
      <c r="E64" s="2">
        <v>32.0</v>
      </c>
    </row>
    <row r="65" ht="14.25" customHeight="1">
      <c r="A65" s="1"/>
      <c r="B65" s="2">
        <v>0.05</v>
      </c>
      <c r="C65" s="2">
        <v>0.36</v>
      </c>
      <c r="D65" s="2">
        <v>1.22</v>
      </c>
      <c r="E65" s="2">
        <v>1.63</v>
      </c>
    </row>
    <row r="66" ht="14.25" customHeight="1">
      <c r="A66" s="1"/>
      <c r="B66" s="2">
        <v>3.13</v>
      </c>
      <c r="C66" s="2">
        <v>21.88</v>
      </c>
      <c r="D66" s="2">
        <v>75.0</v>
      </c>
    </row>
    <row r="67" ht="14.25" customHeight="1">
      <c r="A67" s="1"/>
      <c r="B67" s="2">
        <v>0.07</v>
      </c>
      <c r="C67" s="2">
        <v>3.06</v>
      </c>
      <c r="D67" s="2">
        <v>9.06</v>
      </c>
    </row>
    <row r="68" ht="14.25" customHeight="1">
      <c r="A68" s="1" t="s">
        <v>35</v>
      </c>
      <c r="B68" s="2">
        <v>82.0</v>
      </c>
      <c r="C68" s="2">
        <v>14.0</v>
      </c>
      <c r="D68" s="2">
        <v>5.0</v>
      </c>
      <c r="E68" s="2">
        <v>101.0</v>
      </c>
    </row>
    <row r="69" ht="14.25" customHeight="1">
      <c r="A69" s="1"/>
      <c r="B69" s="2">
        <v>4.18</v>
      </c>
      <c r="C69" s="2">
        <v>0.71</v>
      </c>
      <c r="D69" s="2">
        <v>0.25</v>
      </c>
      <c r="E69" s="2">
        <v>5.15</v>
      </c>
    </row>
    <row r="70" ht="14.25" customHeight="1">
      <c r="A70" s="1"/>
      <c r="B70" s="2">
        <v>81.19</v>
      </c>
      <c r="C70" s="2">
        <v>13.86</v>
      </c>
      <c r="D70" s="2">
        <v>4.95</v>
      </c>
    </row>
    <row r="71" ht="14.25" customHeight="1">
      <c r="A71" s="1"/>
      <c r="B71" s="2">
        <v>5.59</v>
      </c>
      <c r="C71" s="2">
        <v>6.11</v>
      </c>
      <c r="D71" s="2">
        <v>1.89</v>
      </c>
    </row>
    <row r="72" ht="14.25" customHeight="1">
      <c r="A72" s="1" t="s">
        <v>36</v>
      </c>
      <c r="B72" s="2">
        <v>9.0</v>
      </c>
      <c r="C72" s="2">
        <v>6.0</v>
      </c>
      <c r="D72" s="2">
        <v>1.0</v>
      </c>
      <c r="E72" s="2">
        <v>16.0</v>
      </c>
    </row>
    <row r="73" ht="14.25" customHeight="1">
      <c r="A73" s="1"/>
      <c r="B73" s="2">
        <v>0.46</v>
      </c>
      <c r="C73" s="2">
        <v>0.31</v>
      </c>
      <c r="D73" s="2">
        <v>0.05</v>
      </c>
      <c r="E73" s="2">
        <v>0.82</v>
      </c>
    </row>
    <row r="74" ht="14.25" customHeight="1">
      <c r="A74" s="1"/>
      <c r="B74" s="2">
        <v>56.25</v>
      </c>
      <c r="C74" s="2">
        <v>37.5</v>
      </c>
      <c r="D74" s="2">
        <v>6.25</v>
      </c>
    </row>
    <row r="75" ht="14.25" customHeight="1">
      <c r="A75" s="1"/>
      <c r="B75" s="2">
        <v>0.61</v>
      </c>
      <c r="C75" s="2">
        <v>2.62</v>
      </c>
      <c r="D75" s="2">
        <v>0.38</v>
      </c>
    </row>
    <row r="76" ht="14.25" customHeight="1">
      <c r="A76" s="1" t="s">
        <v>37</v>
      </c>
      <c r="B76" s="2">
        <v>94.0</v>
      </c>
      <c r="C76" s="2">
        <v>3.0</v>
      </c>
      <c r="D76" s="2">
        <v>6.0</v>
      </c>
      <c r="E76" s="2">
        <v>103.0</v>
      </c>
    </row>
    <row r="77" ht="14.25" customHeight="1">
      <c r="A77" s="1"/>
      <c r="B77" s="2">
        <v>4.79</v>
      </c>
      <c r="C77" s="2">
        <v>0.15</v>
      </c>
      <c r="D77" s="2">
        <v>0.31</v>
      </c>
      <c r="E77" s="2">
        <v>5.25</v>
      </c>
    </row>
    <row r="78" ht="14.25" customHeight="1">
      <c r="A78" s="1"/>
      <c r="B78" s="2">
        <v>91.26</v>
      </c>
      <c r="C78" s="2">
        <v>2.91</v>
      </c>
      <c r="D78" s="2">
        <v>5.83</v>
      </c>
    </row>
    <row r="79" ht="14.25" customHeight="1">
      <c r="A79" s="1"/>
      <c r="B79" s="2">
        <v>6.41</v>
      </c>
      <c r="C79" s="2">
        <v>1.31</v>
      </c>
      <c r="D79" s="2">
        <v>2.26</v>
      </c>
    </row>
    <row r="80" ht="14.25" customHeight="1">
      <c r="A80" s="1" t="s">
        <v>38</v>
      </c>
      <c r="B80" s="2">
        <v>96.0</v>
      </c>
      <c r="C80" s="2">
        <v>16.0</v>
      </c>
      <c r="D80" s="2">
        <v>11.0</v>
      </c>
      <c r="E80" s="2">
        <v>123.0</v>
      </c>
    </row>
    <row r="81" ht="14.25" customHeight="1">
      <c r="A81" s="1"/>
      <c r="B81" s="2">
        <v>4.9</v>
      </c>
      <c r="C81" s="2">
        <v>0.82</v>
      </c>
      <c r="D81" s="2">
        <v>0.56</v>
      </c>
      <c r="E81" s="2">
        <v>6.27</v>
      </c>
    </row>
    <row r="82" ht="14.25" customHeight="1">
      <c r="A82" s="1"/>
      <c r="B82" s="2">
        <v>78.05</v>
      </c>
      <c r="C82" s="2">
        <v>13.01</v>
      </c>
      <c r="D82" s="2">
        <v>8.94</v>
      </c>
    </row>
    <row r="83" ht="14.25" customHeight="1">
      <c r="A83" s="1"/>
      <c r="B83" s="2">
        <v>6.54</v>
      </c>
      <c r="C83" s="2">
        <v>6.99</v>
      </c>
      <c r="D83" s="2">
        <v>4.15</v>
      </c>
    </row>
    <row r="84" ht="14.25" customHeight="1">
      <c r="A84" s="1" t="s">
        <v>39</v>
      </c>
      <c r="B84" s="2">
        <v>106.0</v>
      </c>
      <c r="C84" s="2">
        <v>9.0</v>
      </c>
      <c r="D84" s="2">
        <v>7.0</v>
      </c>
      <c r="E84" s="2">
        <v>122.0</v>
      </c>
    </row>
    <row r="85" ht="14.25" customHeight="1">
      <c r="A85" s="1"/>
      <c r="B85" s="2">
        <v>5.41</v>
      </c>
      <c r="C85" s="2">
        <v>0.46</v>
      </c>
      <c r="D85" s="2">
        <v>0.36</v>
      </c>
      <c r="E85" s="2">
        <v>6.22</v>
      </c>
    </row>
    <row r="86" ht="14.25" customHeight="1">
      <c r="A86" s="1"/>
      <c r="B86" s="2">
        <v>86.89</v>
      </c>
      <c r="C86" s="2">
        <v>7.38</v>
      </c>
      <c r="D86" s="2">
        <v>5.74</v>
      </c>
    </row>
    <row r="87" ht="14.25" customHeight="1">
      <c r="A87" s="1"/>
      <c r="B87" s="2">
        <v>7.23</v>
      </c>
      <c r="C87" s="2">
        <v>3.93</v>
      </c>
      <c r="D87" s="2">
        <v>2.64</v>
      </c>
    </row>
    <row r="88" ht="14.25" customHeight="1">
      <c r="A88" s="1" t="s">
        <v>40</v>
      </c>
      <c r="B88" s="2">
        <v>11.0</v>
      </c>
      <c r="C88" s="2">
        <v>4.0</v>
      </c>
      <c r="D88" s="2">
        <v>1.0</v>
      </c>
      <c r="E88" s="2">
        <v>16.0</v>
      </c>
    </row>
    <row r="89" ht="14.25" customHeight="1">
      <c r="A89" s="1"/>
      <c r="B89" s="2">
        <v>0.56</v>
      </c>
      <c r="C89" s="2">
        <v>0.2</v>
      </c>
      <c r="D89" s="2">
        <v>0.05</v>
      </c>
      <c r="E89" s="2">
        <v>0.82</v>
      </c>
    </row>
    <row r="90" ht="14.25" customHeight="1">
      <c r="A90" s="1"/>
      <c r="B90" s="2">
        <v>68.75</v>
      </c>
      <c r="C90" s="2">
        <v>25.0</v>
      </c>
      <c r="D90" s="2">
        <v>6.25</v>
      </c>
    </row>
    <row r="91" ht="14.25" customHeight="1">
      <c r="A91" s="1"/>
      <c r="B91" s="2">
        <v>0.75</v>
      </c>
      <c r="C91" s="2">
        <v>1.75</v>
      </c>
      <c r="D91" s="2">
        <v>0.38</v>
      </c>
    </row>
    <row r="92" ht="14.25" customHeight="1">
      <c r="A92" s="1" t="s">
        <v>41</v>
      </c>
      <c r="B92" s="2">
        <v>70.0</v>
      </c>
      <c r="C92" s="2">
        <v>4.0</v>
      </c>
      <c r="D92" s="2">
        <v>9.0</v>
      </c>
      <c r="E92" s="2">
        <v>83.0</v>
      </c>
    </row>
    <row r="93" ht="14.25" customHeight="1">
      <c r="A93" s="1"/>
      <c r="B93" s="2">
        <v>3.57</v>
      </c>
      <c r="C93" s="2">
        <v>0.2</v>
      </c>
      <c r="D93" s="2">
        <v>0.46</v>
      </c>
      <c r="E93" s="2">
        <v>4.23</v>
      </c>
    </row>
    <row r="94" ht="14.25" customHeight="1">
      <c r="A94" s="1"/>
      <c r="B94" s="2">
        <v>84.34</v>
      </c>
      <c r="C94" s="2">
        <v>4.82</v>
      </c>
      <c r="D94" s="2">
        <v>10.84</v>
      </c>
    </row>
    <row r="95" ht="14.25" customHeight="1">
      <c r="A95" s="1"/>
      <c r="B95" s="2">
        <v>4.77</v>
      </c>
      <c r="C95" s="2">
        <v>1.75</v>
      </c>
      <c r="D95" s="2">
        <v>3.4</v>
      </c>
    </row>
    <row r="96" ht="14.25" customHeight="1">
      <c r="A96" s="1" t="s">
        <v>42</v>
      </c>
      <c r="B96" s="2">
        <v>19.0</v>
      </c>
      <c r="C96" s="2">
        <v>0.0</v>
      </c>
      <c r="D96" s="2">
        <v>0.0</v>
      </c>
      <c r="E96" s="2">
        <v>19.0</v>
      </c>
    </row>
    <row r="97" ht="14.25" customHeight="1">
      <c r="A97" s="1"/>
      <c r="B97" s="2">
        <v>0.97</v>
      </c>
      <c r="C97" s="2">
        <v>0.0</v>
      </c>
      <c r="D97" s="2">
        <v>0.0</v>
      </c>
      <c r="E97" s="2">
        <v>0.97</v>
      </c>
    </row>
    <row r="98" ht="14.25" customHeight="1">
      <c r="A98" s="1"/>
      <c r="B98" s="2">
        <v>100.0</v>
      </c>
      <c r="C98" s="2">
        <v>0.0</v>
      </c>
      <c r="D98" s="2">
        <v>0.0</v>
      </c>
    </row>
    <row r="99" ht="14.25" customHeight="1">
      <c r="A99" s="1"/>
      <c r="B99" s="2">
        <v>1.3</v>
      </c>
      <c r="C99" s="2">
        <v>0.0</v>
      </c>
      <c r="D99" s="2">
        <v>0.0</v>
      </c>
    </row>
    <row r="100" ht="14.25" customHeight="1">
      <c r="A100" s="1" t="s">
        <v>43</v>
      </c>
      <c r="B100" s="2">
        <v>1.0</v>
      </c>
      <c r="C100" s="2">
        <v>0.0</v>
      </c>
      <c r="D100" s="2">
        <v>0.0</v>
      </c>
      <c r="E100" s="2">
        <v>1.0</v>
      </c>
    </row>
    <row r="101" ht="14.25" customHeight="1">
      <c r="A101" s="1"/>
      <c r="B101" s="2">
        <v>0.05</v>
      </c>
      <c r="C101" s="2">
        <v>0.0</v>
      </c>
      <c r="D101" s="2">
        <v>0.0</v>
      </c>
      <c r="E101" s="2">
        <v>0.05</v>
      </c>
    </row>
    <row r="102" ht="14.25" customHeight="1">
      <c r="A102" s="1"/>
      <c r="B102" s="2">
        <v>100.0</v>
      </c>
      <c r="C102" s="2">
        <v>0.0</v>
      </c>
      <c r="D102" s="2">
        <v>0.0</v>
      </c>
    </row>
    <row r="103" ht="14.25" customHeight="1">
      <c r="A103" s="1"/>
      <c r="B103" s="2">
        <v>0.07</v>
      </c>
      <c r="C103" s="2">
        <v>0.0</v>
      </c>
      <c r="D103" s="2">
        <v>0.0</v>
      </c>
    </row>
    <row r="104" ht="14.25" customHeight="1">
      <c r="A104" s="1" t="s">
        <v>44</v>
      </c>
      <c r="B104" s="2">
        <v>1467.0</v>
      </c>
      <c r="C104" s="2">
        <v>229.0</v>
      </c>
      <c r="D104" s="2">
        <v>265.0</v>
      </c>
      <c r="E104" s="2">
        <v>1961.0</v>
      </c>
    </row>
    <row r="105" ht="14.25" customHeight="1">
      <c r="A105" s="1"/>
      <c r="B105" s="2">
        <v>74.82</v>
      </c>
      <c r="C105" s="2">
        <v>11.68</v>
      </c>
      <c r="D105" s="2">
        <v>13.51</v>
      </c>
      <c r="E105" s="2">
        <v>100.0</v>
      </c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14"/>
    <col customWidth="1" min="2" max="2" width="15.43"/>
    <col customWidth="1" min="3" max="3" width="13.29"/>
    <col customWidth="1" min="4" max="6" width="8.71"/>
    <col customWidth="1" min="7" max="7" width="13.14"/>
    <col customWidth="1" min="8" max="9" width="8.71"/>
    <col customWidth="1" min="10" max="10" width="29.57"/>
    <col customWidth="1" min="11" max="26" width="8.71"/>
  </cols>
  <sheetData>
    <row r="1" ht="14.25" customHeight="1">
      <c r="A1" s="1" t="s">
        <v>14</v>
      </c>
    </row>
    <row r="2" ht="14.25" customHeight="1">
      <c r="A2" s="1" t="s">
        <v>15</v>
      </c>
      <c r="B2" s="1" t="s">
        <v>0</v>
      </c>
      <c r="C2" s="1"/>
      <c r="D2" s="1"/>
      <c r="E2" s="1"/>
    </row>
    <row r="3" ht="14.25" customHeight="1">
      <c r="A3" s="1"/>
      <c r="B3" s="1" t="s">
        <v>1</v>
      </c>
      <c r="C3" s="1" t="s">
        <v>2</v>
      </c>
      <c r="D3" s="1" t="s">
        <v>3</v>
      </c>
      <c r="E3" s="1" t="s">
        <v>4</v>
      </c>
      <c r="G3" s="5" t="s">
        <v>45</v>
      </c>
    </row>
    <row r="4" ht="14.25" customHeight="1">
      <c r="A4" s="4" t="s">
        <v>46</v>
      </c>
      <c r="B4" s="2">
        <v>112.0</v>
      </c>
      <c r="C4" s="2">
        <v>17.0</v>
      </c>
      <c r="D4" s="2">
        <v>11.0</v>
      </c>
      <c r="E4" s="2">
        <f t="shared" ref="E4:E5" si="2">SUM(B4:D4)</f>
        <v>140</v>
      </c>
      <c r="G4" s="2">
        <v>13.0</v>
      </c>
      <c r="H4" s="2">
        <v>2.0</v>
      </c>
      <c r="I4" s="2">
        <v>1.0</v>
      </c>
      <c r="J4" s="2" t="s">
        <v>16</v>
      </c>
    </row>
    <row r="5" ht="14.25" customHeight="1">
      <c r="A5" s="1"/>
      <c r="B5" s="3">
        <f t="shared" ref="B5:D5" si="1">(B4/$E$133)*100</f>
        <v>4.676409186</v>
      </c>
      <c r="C5" s="3">
        <f t="shared" si="1"/>
        <v>0.7098121086</v>
      </c>
      <c r="D5" s="3">
        <f t="shared" si="1"/>
        <v>0.4592901879</v>
      </c>
      <c r="E5" s="3">
        <f t="shared" si="2"/>
        <v>5.845511482</v>
      </c>
      <c r="J5" s="2" t="s">
        <v>17</v>
      </c>
    </row>
    <row r="6" ht="14.25" customHeight="1">
      <c r="A6" s="1"/>
      <c r="B6" s="2">
        <f t="shared" ref="B6:D6" si="3">(B4/$E$4)*100</f>
        <v>80</v>
      </c>
      <c r="C6" s="3">
        <f t="shared" si="3"/>
        <v>12.14285714</v>
      </c>
      <c r="D6" s="3">
        <f t="shared" si="3"/>
        <v>7.857142857</v>
      </c>
      <c r="J6" s="2" t="s">
        <v>18</v>
      </c>
    </row>
    <row r="7" ht="14.25" customHeight="1">
      <c r="A7" s="1"/>
      <c r="B7" s="3">
        <f t="shared" ref="B7:D7" si="4">(B4/B133)*100</f>
        <v>6.519208382</v>
      </c>
      <c r="C7" s="3">
        <f t="shared" si="4"/>
        <v>6.071428571</v>
      </c>
      <c r="D7" s="3">
        <f t="shared" si="4"/>
        <v>2.770780856</v>
      </c>
      <c r="J7" s="2" t="s">
        <v>19</v>
      </c>
    </row>
    <row r="8" ht="14.25" customHeight="1">
      <c r="A8" s="1" t="s">
        <v>47</v>
      </c>
      <c r="B8" s="2">
        <f>sum(78,G8)</f>
        <v>83</v>
      </c>
      <c r="C8" s="2">
        <v>26.0</v>
      </c>
      <c r="D8" s="2">
        <v>30.0</v>
      </c>
      <c r="E8" s="2">
        <f t="shared" ref="E8:E9" si="6">SUM(B8:D8)</f>
        <v>139</v>
      </c>
      <c r="G8" s="2">
        <v>5.0</v>
      </c>
      <c r="H8" s="2">
        <v>3.0</v>
      </c>
      <c r="I8" s="2">
        <v>8.0</v>
      </c>
    </row>
    <row r="9" ht="14.25" customHeight="1">
      <c r="A9" s="1"/>
      <c r="B9" s="3">
        <f t="shared" ref="B9:D9" si="5">(B8/$E$133)*100</f>
        <v>3.465553236</v>
      </c>
      <c r="C9" s="3">
        <f t="shared" si="5"/>
        <v>1.08559499</v>
      </c>
      <c r="D9" s="3">
        <f t="shared" si="5"/>
        <v>1.252609603</v>
      </c>
      <c r="E9" s="3">
        <f t="shared" si="6"/>
        <v>5.803757829</v>
      </c>
    </row>
    <row r="10" ht="14.25" customHeight="1">
      <c r="A10" s="1"/>
      <c r="B10" s="3">
        <f t="shared" ref="B10:D10" si="7">(B8/$E$8)*100</f>
        <v>59.71223022</v>
      </c>
      <c r="C10" s="3">
        <f t="shared" si="7"/>
        <v>18.70503597</v>
      </c>
      <c r="D10" s="3">
        <f t="shared" si="7"/>
        <v>21.58273381</v>
      </c>
    </row>
    <row r="11" ht="14.25" customHeight="1">
      <c r="A11" s="1"/>
      <c r="B11" s="3">
        <f t="shared" ref="B11:D11" si="8">(B8/B133)*100</f>
        <v>4.831199069</v>
      </c>
      <c r="C11" s="3">
        <f t="shared" si="8"/>
        <v>9.285714286</v>
      </c>
      <c r="D11" s="3">
        <f t="shared" si="8"/>
        <v>7.556675063</v>
      </c>
    </row>
    <row r="12" ht="14.25" customHeight="1">
      <c r="A12" s="1" t="s">
        <v>48</v>
      </c>
      <c r="B12" s="2">
        <f>sum(79,G12)</f>
        <v>84</v>
      </c>
      <c r="C12" s="2">
        <f>sum(19,H12)</f>
        <v>23</v>
      </c>
      <c r="D12" s="2">
        <f>sum(25,I12)</f>
        <v>32</v>
      </c>
      <c r="E12" s="2">
        <f t="shared" ref="E12:E13" si="10">SUM(B12:D12)</f>
        <v>139</v>
      </c>
      <c r="G12" s="2">
        <v>5.0</v>
      </c>
      <c r="H12" s="2">
        <v>4.0</v>
      </c>
      <c r="I12" s="2">
        <v>7.0</v>
      </c>
    </row>
    <row r="13" ht="14.25" customHeight="1">
      <c r="A13" s="1"/>
      <c r="B13" s="3">
        <f t="shared" ref="B13:D13" si="9">(B12/$E$133)*100</f>
        <v>3.507306889</v>
      </c>
      <c r="C13" s="3">
        <f t="shared" si="9"/>
        <v>0.9603340292</v>
      </c>
      <c r="D13" s="3">
        <f t="shared" si="9"/>
        <v>1.33611691</v>
      </c>
      <c r="E13" s="3">
        <f t="shared" si="10"/>
        <v>5.803757829</v>
      </c>
    </row>
    <row r="14" ht="14.25" customHeight="1">
      <c r="A14" s="1"/>
      <c r="B14" s="3">
        <f t="shared" ref="B14:D14" si="11">(B12/$E$12)*100</f>
        <v>60.43165468</v>
      </c>
      <c r="C14" s="3">
        <f t="shared" si="11"/>
        <v>16.54676259</v>
      </c>
      <c r="D14" s="3">
        <f t="shared" si="11"/>
        <v>23.02158273</v>
      </c>
    </row>
    <row r="15" ht="14.25" customHeight="1">
      <c r="A15" s="1"/>
      <c r="B15" s="3">
        <f t="shared" ref="B15:D15" si="12">(B12/B133)*100</f>
        <v>4.889406286</v>
      </c>
      <c r="C15" s="3">
        <f t="shared" si="12"/>
        <v>8.214285714</v>
      </c>
      <c r="D15" s="3">
        <f t="shared" si="12"/>
        <v>8.060453401</v>
      </c>
    </row>
    <row r="16" ht="14.25" customHeight="1">
      <c r="A16" s="1" t="s">
        <v>49</v>
      </c>
      <c r="B16" s="2">
        <f>sum(83,G16)</f>
        <v>98</v>
      </c>
      <c r="C16" s="2">
        <f>sum(0,H16)</f>
        <v>1</v>
      </c>
      <c r="D16" s="2">
        <f>sum(2,I16)</f>
        <v>2</v>
      </c>
      <c r="E16" s="2">
        <f t="shared" ref="E16:E17" si="14">SUM(B16:D16)</f>
        <v>101</v>
      </c>
      <c r="G16" s="2">
        <v>15.0</v>
      </c>
      <c r="H16" s="2">
        <v>1.0</v>
      </c>
      <c r="I16" s="2">
        <v>0.0</v>
      </c>
    </row>
    <row r="17" ht="14.25" customHeight="1">
      <c r="A17" s="1"/>
      <c r="B17" s="3">
        <f t="shared" ref="B17:D17" si="13">(B16/$E$133)*100</f>
        <v>4.091858038</v>
      </c>
      <c r="C17" s="3">
        <f t="shared" si="13"/>
        <v>0.04175365344</v>
      </c>
      <c r="D17" s="3">
        <f t="shared" si="13"/>
        <v>0.08350730689</v>
      </c>
      <c r="E17" s="3">
        <f t="shared" si="14"/>
        <v>4.217118998</v>
      </c>
    </row>
    <row r="18" ht="14.25" customHeight="1">
      <c r="A18" s="1"/>
      <c r="B18" s="3">
        <f t="shared" ref="B18:D18" si="15">(B16/$E$16)*100</f>
        <v>97.02970297</v>
      </c>
      <c r="C18" s="3">
        <f t="shared" si="15"/>
        <v>0.9900990099</v>
      </c>
      <c r="D18" s="3">
        <f t="shared" si="15"/>
        <v>1.98019802</v>
      </c>
    </row>
    <row r="19" ht="14.25" customHeight="1">
      <c r="A19" s="1"/>
      <c r="B19" s="3">
        <f t="shared" ref="B19:D19" si="16">(B16/B133)*100</f>
        <v>5.704307334</v>
      </c>
      <c r="C19" s="3">
        <f t="shared" si="16"/>
        <v>0.3571428571</v>
      </c>
      <c r="D19" s="3">
        <f t="shared" si="16"/>
        <v>0.5037783375</v>
      </c>
    </row>
    <row r="20" ht="14.25" customHeight="1">
      <c r="A20" s="6" t="s">
        <v>50</v>
      </c>
      <c r="B20" s="2">
        <v>6.0</v>
      </c>
      <c r="C20" s="2">
        <v>4.0</v>
      </c>
      <c r="D20" s="2">
        <v>4.0</v>
      </c>
      <c r="E20" s="2">
        <f t="shared" ref="E20:E21" si="18">SUM(B20:D20)</f>
        <v>14</v>
      </c>
      <c r="G20" s="2">
        <v>6.0</v>
      </c>
      <c r="H20" s="2">
        <v>4.0</v>
      </c>
      <c r="I20" s="2">
        <v>4.0</v>
      </c>
    </row>
    <row r="21" ht="14.25" customHeight="1">
      <c r="A21" s="1"/>
      <c r="B21" s="7">
        <f t="shared" ref="B21:D21" si="17">(B20/$E$133)*100</f>
        <v>0.2505219207</v>
      </c>
      <c r="C21" s="7">
        <f t="shared" si="17"/>
        <v>0.1670146138</v>
      </c>
      <c r="D21" s="7">
        <f t="shared" si="17"/>
        <v>0.1670146138</v>
      </c>
      <c r="E21" s="7">
        <f t="shared" si="18"/>
        <v>0.5845511482</v>
      </c>
      <c r="G21" s="2"/>
      <c r="H21" s="2"/>
      <c r="I21" s="2"/>
    </row>
    <row r="22" ht="14.25" customHeight="1">
      <c r="A22" s="1"/>
      <c r="B22" s="3">
        <f t="shared" ref="B22:D22" si="19">(B20/$E$20)*100</f>
        <v>42.85714286</v>
      </c>
      <c r="C22" s="3">
        <f t="shared" si="19"/>
        <v>28.57142857</v>
      </c>
      <c r="D22" s="3">
        <f t="shared" si="19"/>
        <v>28.57142857</v>
      </c>
      <c r="G22" s="2"/>
      <c r="H22" s="2"/>
      <c r="I22" s="2"/>
    </row>
    <row r="23" ht="14.25" customHeight="1">
      <c r="A23" s="1"/>
      <c r="B23" s="7">
        <f t="shared" ref="B23:D23" si="20">(B20/B133)*100</f>
        <v>0.3492433062</v>
      </c>
      <c r="C23" s="3">
        <f t="shared" si="20"/>
        <v>1.428571429</v>
      </c>
      <c r="D23" s="3">
        <f t="shared" si="20"/>
        <v>1.007556675</v>
      </c>
      <c r="G23" s="2"/>
      <c r="H23" s="2"/>
      <c r="I23" s="2"/>
    </row>
    <row r="24" ht="14.25" customHeight="1">
      <c r="A24" s="1" t="s">
        <v>51</v>
      </c>
      <c r="B24" s="2">
        <f>sum(59,G24)</f>
        <v>75</v>
      </c>
      <c r="C24" s="2">
        <v>4.0</v>
      </c>
      <c r="D24" s="2">
        <v>5.0</v>
      </c>
      <c r="E24" s="2">
        <f t="shared" ref="E24:E25" si="22">SUM(B24:D24)</f>
        <v>84</v>
      </c>
      <c r="G24" s="2">
        <v>16.0</v>
      </c>
      <c r="H24" s="2">
        <v>0.0</v>
      </c>
      <c r="I24" s="2">
        <v>0.0</v>
      </c>
    </row>
    <row r="25" ht="14.25" customHeight="1">
      <c r="A25" s="1"/>
      <c r="B25" s="3">
        <f t="shared" ref="B25:D25" si="21">(B24/$E$133)*100</f>
        <v>3.131524008</v>
      </c>
      <c r="C25" s="3">
        <f t="shared" si="21"/>
        <v>0.1670146138</v>
      </c>
      <c r="D25" s="3">
        <f t="shared" si="21"/>
        <v>0.2087682672</v>
      </c>
      <c r="E25" s="3">
        <f t="shared" si="22"/>
        <v>3.507306889</v>
      </c>
    </row>
    <row r="26" ht="14.25" customHeight="1">
      <c r="A26" s="1"/>
      <c r="B26" s="3">
        <f t="shared" ref="B26:D26" si="23">(B24/$E$24)*100</f>
        <v>89.28571429</v>
      </c>
      <c r="C26" s="3">
        <f t="shared" si="23"/>
        <v>4.761904762</v>
      </c>
      <c r="D26" s="3">
        <f t="shared" si="23"/>
        <v>5.952380952</v>
      </c>
    </row>
    <row r="27" ht="14.25" customHeight="1">
      <c r="A27" s="1"/>
      <c r="B27" s="3">
        <f t="shared" ref="B27:D27" si="24">(B24/B133)*100</f>
        <v>4.365541327</v>
      </c>
      <c r="C27" s="3">
        <f t="shared" si="24"/>
        <v>1.428571429</v>
      </c>
      <c r="D27" s="3">
        <f t="shared" si="24"/>
        <v>1.259445844</v>
      </c>
    </row>
    <row r="28" ht="14.25" customHeight="1">
      <c r="A28" s="6" t="s">
        <v>52</v>
      </c>
      <c r="B28" s="2">
        <v>11.0</v>
      </c>
      <c r="C28" s="2">
        <v>2.0</v>
      </c>
      <c r="D28" s="2">
        <v>3.0</v>
      </c>
      <c r="E28" s="2">
        <f t="shared" ref="E28:E29" si="26">SUM(B28:D28)</f>
        <v>16</v>
      </c>
      <c r="G28" s="2">
        <v>11.0</v>
      </c>
      <c r="H28" s="2">
        <v>2.0</v>
      </c>
      <c r="I28" s="2">
        <v>3.0</v>
      </c>
    </row>
    <row r="29" ht="14.25" customHeight="1">
      <c r="A29" s="1"/>
      <c r="B29" s="8">
        <f t="shared" ref="B29:D29" si="25">(B28/$E$133)*100</f>
        <v>0.4592901879</v>
      </c>
      <c r="C29" s="9">
        <f t="shared" si="25"/>
        <v>0.08350730689</v>
      </c>
      <c r="D29" s="3">
        <f t="shared" si="25"/>
        <v>0.1252609603</v>
      </c>
      <c r="E29" s="3">
        <f t="shared" si="26"/>
        <v>0.6680584551</v>
      </c>
    </row>
    <row r="30" ht="14.25" customHeight="1">
      <c r="A30" s="1"/>
      <c r="B30" s="2">
        <f t="shared" ref="B30:D30" si="27">(B28/$E$28)*100</f>
        <v>68.75</v>
      </c>
      <c r="C30" s="2">
        <f t="shared" si="27"/>
        <v>12.5</v>
      </c>
      <c r="D30" s="2">
        <f t="shared" si="27"/>
        <v>18.75</v>
      </c>
    </row>
    <row r="31" ht="14.25" customHeight="1">
      <c r="A31" s="1"/>
      <c r="B31" s="3">
        <f t="shared" ref="B31:D31" si="28">(B28/B133)*100</f>
        <v>0.6402793946</v>
      </c>
      <c r="C31" s="3">
        <f t="shared" si="28"/>
        <v>0.7142857143</v>
      </c>
      <c r="D31" s="3">
        <f t="shared" si="28"/>
        <v>0.7556675063</v>
      </c>
    </row>
    <row r="32" ht="14.25" customHeight="1">
      <c r="A32" s="1" t="s">
        <v>53</v>
      </c>
      <c r="B32" s="2">
        <v>18.0</v>
      </c>
      <c r="C32" s="2">
        <v>0.0</v>
      </c>
      <c r="D32" s="2">
        <v>0.0</v>
      </c>
      <c r="E32" s="2">
        <f t="shared" ref="E32:E33" si="30">SUM(B32:D32)</f>
        <v>18</v>
      </c>
    </row>
    <row r="33" ht="14.25" customHeight="1">
      <c r="A33" s="1" t="s">
        <v>54</v>
      </c>
      <c r="B33" s="3">
        <f t="shared" ref="B33:D33" si="29">(B32/$E$133)*100</f>
        <v>0.751565762</v>
      </c>
      <c r="C33" s="3">
        <f t="shared" si="29"/>
        <v>0</v>
      </c>
      <c r="D33" s="3">
        <f t="shared" si="29"/>
        <v>0</v>
      </c>
      <c r="E33" s="3">
        <f t="shared" si="30"/>
        <v>0.751565762</v>
      </c>
    </row>
    <row r="34" ht="14.25" customHeight="1">
      <c r="A34" s="1"/>
      <c r="B34" s="2">
        <v>100.0</v>
      </c>
      <c r="C34" s="2">
        <v>0.0</v>
      </c>
      <c r="D34" s="2">
        <v>0.0</v>
      </c>
    </row>
    <row r="35" ht="14.25" customHeight="1">
      <c r="A35" s="1"/>
      <c r="B35" s="2">
        <f>(B32/18)*100</f>
        <v>100</v>
      </c>
      <c r="C35" s="2">
        <v>0.0</v>
      </c>
      <c r="D35" s="2">
        <v>0.0</v>
      </c>
    </row>
    <row r="36" ht="14.25" customHeight="1">
      <c r="A36" s="1" t="s">
        <v>55</v>
      </c>
      <c r="B36" s="2">
        <f>sum(67,G36)</f>
        <v>80</v>
      </c>
      <c r="C36" s="2">
        <f t="shared" ref="C36:D36" si="31">sum(9,H36)</f>
        <v>10</v>
      </c>
      <c r="D36" s="2">
        <f t="shared" si="31"/>
        <v>11</v>
      </c>
      <c r="E36" s="2">
        <f t="shared" ref="E36:E37" si="33">SUM(B36:D36)</f>
        <v>101</v>
      </c>
      <c r="G36" s="2">
        <v>13.0</v>
      </c>
      <c r="H36" s="2">
        <v>1.0</v>
      </c>
      <c r="I36" s="2">
        <v>2.0</v>
      </c>
    </row>
    <row r="37" ht="14.25" customHeight="1">
      <c r="A37" s="1"/>
      <c r="B37" s="3">
        <f t="shared" ref="B37:D37" si="32">(B36/$E$133)*100</f>
        <v>3.340292276</v>
      </c>
      <c r="C37" s="3">
        <f t="shared" si="32"/>
        <v>0.4175365344</v>
      </c>
      <c r="D37" s="3">
        <f t="shared" si="32"/>
        <v>0.4592901879</v>
      </c>
      <c r="E37" s="3">
        <f t="shared" si="33"/>
        <v>4.217118998</v>
      </c>
    </row>
    <row r="38" ht="14.25" customHeight="1">
      <c r="A38" s="1"/>
      <c r="B38" s="3">
        <f t="shared" ref="B38:D38" si="34">(B36/$E$36)*100</f>
        <v>79.20792079</v>
      </c>
      <c r="C38" s="3">
        <f t="shared" si="34"/>
        <v>9.900990099</v>
      </c>
      <c r="D38" s="3">
        <f t="shared" si="34"/>
        <v>10.89108911</v>
      </c>
    </row>
    <row r="39" ht="14.25" customHeight="1">
      <c r="A39" s="1"/>
      <c r="B39" s="3">
        <f t="shared" ref="B39:D39" si="35">(B36/B133)*100</f>
        <v>4.656577416</v>
      </c>
      <c r="C39" s="3">
        <f t="shared" si="35"/>
        <v>3.571428571</v>
      </c>
      <c r="D39" s="3">
        <f t="shared" si="35"/>
        <v>2.770780856</v>
      </c>
    </row>
    <row r="40" ht="14.25" customHeight="1">
      <c r="A40" s="1" t="s">
        <v>56</v>
      </c>
      <c r="B40" s="2">
        <f>sum(76,G40)</f>
        <v>86</v>
      </c>
      <c r="C40" s="2">
        <f>sum(7,H40)</f>
        <v>8</v>
      </c>
      <c r="D40" s="2">
        <f>sum(19,I40)</f>
        <v>23</v>
      </c>
      <c r="E40" s="2">
        <f t="shared" ref="E40:E41" si="37">SUM(B40:D40)</f>
        <v>117</v>
      </c>
      <c r="G40" s="2">
        <v>10.0</v>
      </c>
      <c r="H40" s="2">
        <v>1.0</v>
      </c>
      <c r="I40" s="2">
        <v>4.0</v>
      </c>
    </row>
    <row r="41" ht="14.25" customHeight="1">
      <c r="A41" s="1"/>
      <c r="B41" s="3">
        <f t="shared" ref="B41:D41" si="36">(B40/$E$133)*100</f>
        <v>3.590814196</v>
      </c>
      <c r="C41" s="3">
        <f t="shared" si="36"/>
        <v>0.3340292276</v>
      </c>
      <c r="D41" s="3">
        <f t="shared" si="36"/>
        <v>0.9603340292</v>
      </c>
      <c r="E41" s="3">
        <f t="shared" si="37"/>
        <v>4.885177453</v>
      </c>
    </row>
    <row r="42" ht="14.25" customHeight="1">
      <c r="A42" s="1"/>
      <c r="B42" s="3">
        <f t="shared" ref="B42:D42" si="38">(B40/$E$40)*100</f>
        <v>73.5042735</v>
      </c>
      <c r="C42" s="3">
        <f t="shared" si="38"/>
        <v>6.837606838</v>
      </c>
      <c r="D42" s="3">
        <f t="shared" si="38"/>
        <v>19.65811966</v>
      </c>
    </row>
    <row r="43" ht="14.25" customHeight="1">
      <c r="A43" s="1"/>
      <c r="B43" s="3">
        <f t="shared" ref="B43:D43" si="39">(B40/B133)*100</f>
        <v>5.005820722</v>
      </c>
      <c r="C43" s="3">
        <f t="shared" si="39"/>
        <v>2.857142857</v>
      </c>
      <c r="D43" s="3">
        <f t="shared" si="39"/>
        <v>5.793450882</v>
      </c>
    </row>
    <row r="44" ht="14.25" customHeight="1">
      <c r="A44" s="1" t="s">
        <v>57</v>
      </c>
      <c r="B44" s="2">
        <v>2.0</v>
      </c>
      <c r="C44" s="2">
        <f>sum(27,H44)</f>
        <v>28</v>
      </c>
      <c r="D44" s="2">
        <f>sum(56,I44)</f>
        <v>71</v>
      </c>
      <c r="E44" s="2">
        <f t="shared" ref="E44:E45" si="41">SUM(B44:D44)</f>
        <v>101</v>
      </c>
      <c r="G44" s="2">
        <v>0.0</v>
      </c>
      <c r="H44" s="2">
        <v>1.0</v>
      </c>
      <c r="I44" s="2">
        <v>15.0</v>
      </c>
    </row>
    <row r="45" ht="14.25" customHeight="1">
      <c r="A45" s="1"/>
      <c r="B45" s="3">
        <f t="shared" ref="B45:D45" si="40">(B44/$E$133)*100</f>
        <v>0.08350730689</v>
      </c>
      <c r="C45" s="3">
        <f t="shared" si="40"/>
        <v>1.169102296</v>
      </c>
      <c r="D45" s="3">
        <f t="shared" si="40"/>
        <v>2.964509395</v>
      </c>
      <c r="E45" s="3">
        <f t="shared" si="41"/>
        <v>4.217118998</v>
      </c>
    </row>
    <row r="46" ht="14.25" customHeight="1">
      <c r="A46" s="1"/>
      <c r="B46" s="3">
        <f t="shared" ref="B46:D46" si="42">(B44/$E$44)*100</f>
        <v>1.98019802</v>
      </c>
      <c r="C46" s="3">
        <f t="shared" si="42"/>
        <v>27.72277228</v>
      </c>
      <c r="D46" s="3">
        <f t="shared" si="42"/>
        <v>70.2970297</v>
      </c>
    </row>
    <row r="47" ht="14.25" customHeight="1">
      <c r="A47" s="1"/>
      <c r="B47" s="3">
        <f t="shared" ref="B47:D47" si="43">(B44/B133)*100</f>
        <v>0.1164144354</v>
      </c>
      <c r="C47" s="3">
        <f t="shared" si="43"/>
        <v>10</v>
      </c>
      <c r="D47" s="3">
        <f t="shared" si="43"/>
        <v>17.88413098</v>
      </c>
    </row>
    <row r="48" ht="14.25" customHeight="1">
      <c r="A48" s="1" t="s">
        <v>58</v>
      </c>
      <c r="B48" s="2">
        <f>sum(108,G48)</f>
        <v>123</v>
      </c>
      <c r="C48" s="2">
        <v>10.0</v>
      </c>
      <c r="D48" s="2">
        <f>sum(5,I48)</f>
        <v>6</v>
      </c>
      <c r="E48" s="2">
        <f t="shared" ref="E48:E49" si="45">SUM(B48:D48)</f>
        <v>139</v>
      </c>
      <c r="G48" s="2">
        <v>15.0</v>
      </c>
      <c r="H48" s="2">
        <v>0.0</v>
      </c>
      <c r="I48" s="2">
        <v>1.0</v>
      </c>
    </row>
    <row r="49" ht="14.25" customHeight="1">
      <c r="A49" s="1"/>
      <c r="B49" s="3">
        <f t="shared" ref="B49:D49" si="44">(B48/$E$133)*100</f>
        <v>5.135699374</v>
      </c>
      <c r="C49" s="3">
        <f t="shared" si="44"/>
        <v>0.4175365344</v>
      </c>
      <c r="D49" s="3">
        <f t="shared" si="44"/>
        <v>0.2505219207</v>
      </c>
      <c r="E49" s="3">
        <f t="shared" si="45"/>
        <v>5.803757829</v>
      </c>
    </row>
    <row r="50" ht="14.25" customHeight="1">
      <c r="A50" s="1"/>
      <c r="B50" s="3">
        <f t="shared" ref="B50:D50" si="46">(B48/$E$48)*100</f>
        <v>88.48920863</v>
      </c>
      <c r="C50" s="3">
        <f t="shared" si="46"/>
        <v>7.194244604</v>
      </c>
      <c r="D50" s="3">
        <f t="shared" si="46"/>
        <v>4.316546763</v>
      </c>
    </row>
    <row r="51" ht="14.25" customHeight="1">
      <c r="A51" s="1"/>
      <c r="B51" s="3">
        <f t="shared" ref="B51:D51" si="47">(B48/B133)*100</f>
        <v>7.159487776</v>
      </c>
      <c r="C51" s="3">
        <f t="shared" si="47"/>
        <v>3.571428571</v>
      </c>
      <c r="D51" s="3">
        <f t="shared" si="47"/>
        <v>1.511335013</v>
      </c>
    </row>
    <row r="52" ht="14.25" customHeight="1">
      <c r="A52" s="6" t="s">
        <v>59</v>
      </c>
      <c r="B52" s="2">
        <v>9.0</v>
      </c>
      <c r="C52" s="2">
        <v>3.0</v>
      </c>
      <c r="D52" s="2">
        <v>2.0</v>
      </c>
      <c r="E52" s="2">
        <f t="shared" ref="E52:E53" si="49">SUM(B52:D52)</f>
        <v>14</v>
      </c>
      <c r="G52" s="2">
        <v>9.0</v>
      </c>
      <c r="H52" s="2">
        <v>3.0</v>
      </c>
      <c r="I52" s="2">
        <v>2.0</v>
      </c>
    </row>
    <row r="53" ht="14.25" customHeight="1">
      <c r="A53" s="1"/>
      <c r="B53" s="7">
        <f t="shared" ref="B53:D53" si="48">(B52/$E$133)*100</f>
        <v>0.375782881</v>
      </c>
      <c r="C53" s="7">
        <f t="shared" si="48"/>
        <v>0.1252609603</v>
      </c>
      <c r="D53" s="7">
        <f t="shared" si="48"/>
        <v>0.08350730689</v>
      </c>
      <c r="E53" s="7">
        <f t="shared" si="49"/>
        <v>0.5845511482</v>
      </c>
      <c r="G53" s="2"/>
      <c r="H53" s="2"/>
      <c r="I53" s="2"/>
    </row>
    <row r="54" ht="14.25" customHeight="1">
      <c r="A54" s="1"/>
      <c r="B54" s="3">
        <f t="shared" ref="B54:D54" si="50">(B52/$E$52)*100</f>
        <v>64.28571429</v>
      </c>
      <c r="C54" s="3">
        <f t="shared" si="50"/>
        <v>21.42857143</v>
      </c>
      <c r="D54" s="3">
        <f t="shared" si="50"/>
        <v>14.28571429</v>
      </c>
      <c r="G54" s="2"/>
      <c r="H54" s="2"/>
      <c r="I54" s="2"/>
    </row>
    <row r="55" ht="14.25" customHeight="1">
      <c r="A55" s="1"/>
      <c r="B55" s="3">
        <f t="shared" ref="B55:D55" si="51">(B52/B133)*100</f>
        <v>0.5238649593</v>
      </c>
      <c r="C55" s="3">
        <f t="shared" si="51"/>
        <v>1.071428571</v>
      </c>
      <c r="D55" s="3">
        <f t="shared" si="51"/>
        <v>0.5037783375</v>
      </c>
      <c r="G55" s="2"/>
      <c r="H55" s="2"/>
      <c r="I55" s="2"/>
    </row>
    <row r="56" ht="14.25" customHeight="1">
      <c r="A56" s="1" t="s">
        <v>60</v>
      </c>
      <c r="G56" s="2"/>
      <c r="H56" s="2"/>
      <c r="I56" s="2"/>
    </row>
    <row r="57" ht="14.25" customHeight="1">
      <c r="B57" s="2">
        <f>sum(13,84)</f>
        <v>97</v>
      </c>
      <c r="C57" s="2">
        <f>sum(1,8)</f>
        <v>9</v>
      </c>
      <c r="D57" s="2">
        <f>sum(I57,11)</f>
        <v>13</v>
      </c>
      <c r="E57" s="2">
        <f t="shared" ref="E57:E58" si="53">SUM(B57:D57)</f>
        <v>119</v>
      </c>
      <c r="G57" s="2">
        <v>13.0</v>
      </c>
      <c r="H57" s="2">
        <v>1.0</v>
      </c>
      <c r="I57" s="2">
        <v>2.0</v>
      </c>
    </row>
    <row r="58" ht="14.25" customHeight="1">
      <c r="A58" s="1"/>
      <c r="B58" s="3">
        <f t="shared" ref="B58:D58" si="52">(B57/$E$133)*100</f>
        <v>4.050104384</v>
      </c>
      <c r="C58" s="3">
        <f t="shared" si="52"/>
        <v>0.375782881</v>
      </c>
      <c r="D58" s="3">
        <f t="shared" si="52"/>
        <v>0.5427974948</v>
      </c>
      <c r="E58" s="3">
        <f t="shared" si="53"/>
        <v>4.96868476</v>
      </c>
    </row>
    <row r="59" ht="14.25" customHeight="1">
      <c r="A59" s="1"/>
      <c r="B59" s="3">
        <f t="shared" ref="B59:D59" si="54">(B57/$E$57)*100</f>
        <v>81.51260504</v>
      </c>
      <c r="C59" s="3">
        <f t="shared" si="54"/>
        <v>7.56302521</v>
      </c>
      <c r="D59" s="3">
        <f t="shared" si="54"/>
        <v>10.92436975</v>
      </c>
    </row>
    <row r="60" ht="14.25" customHeight="1">
      <c r="A60" s="1"/>
      <c r="B60" s="3">
        <f t="shared" ref="B60:D60" si="55">(B57/B133)*100</f>
        <v>5.646100116</v>
      </c>
      <c r="C60" s="3">
        <f t="shared" si="55"/>
        <v>3.214285714</v>
      </c>
      <c r="D60" s="3">
        <f t="shared" si="55"/>
        <v>3.274559194</v>
      </c>
    </row>
    <row r="61" ht="14.25" customHeight="1">
      <c r="A61" s="1" t="s">
        <v>61</v>
      </c>
      <c r="B61" s="2">
        <f>sum(63,G61)</f>
        <v>74</v>
      </c>
      <c r="C61" s="2">
        <f>sum(H61,18)</f>
        <v>18</v>
      </c>
      <c r="D61" s="2">
        <f>sum(I61,22)</f>
        <v>27</v>
      </c>
      <c r="E61" s="2">
        <f t="shared" ref="E61:E62" si="57">SUM(B61:D61)</f>
        <v>119</v>
      </c>
      <c r="G61" s="2">
        <v>11.0</v>
      </c>
      <c r="H61" s="2">
        <v>0.0</v>
      </c>
      <c r="I61" s="2">
        <v>5.0</v>
      </c>
    </row>
    <row r="62" ht="14.25" customHeight="1">
      <c r="A62" s="1"/>
      <c r="B62" s="3">
        <f t="shared" ref="B62:D62" si="56">(B61/$E$133)*100</f>
        <v>3.089770355</v>
      </c>
      <c r="C62" s="3">
        <f t="shared" si="56"/>
        <v>0.751565762</v>
      </c>
      <c r="D62" s="3">
        <f t="shared" si="56"/>
        <v>1.127348643</v>
      </c>
      <c r="E62" s="3">
        <f t="shared" si="57"/>
        <v>4.96868476</v>
      </c>
    </row>
    <row r="63" ht="14.25" customHeight="1">
      <c r="A63" s="1"/>
      <c r="B63" s="3">
        <f t="shared" ref="B63:D63" si="58">(B61/$E$61)*100</f>
        <v>62.18487395</v>
      </c>
      <c r="C63" s="3">
        <f t="shared" si="58"/>
        <v>15.12605042</v>
      </c>
      <c r="D63" s="3">
        <f t="shared" si="58"/>
        <v>22.68907563</v>
      </c>
    </row>
    <row r="64" ht="14.25" customHeight="1">
      <c r="A64" s="1"/>
      <c r="B64" s="3">
        <f t="shared" ref="B64:D64" si="59">(B61/B133)*100</f>
        <v>4.307334109</v>
      </c>
      <c r="C64" s="3">
        <f t="shared" si="59"/>
        <v>6.428571429</v>
      </c>
      <c r="D64" s="3">
        <f t="shared" si="59"/>
        <v>6.801007557</v>
      </c>
    </row>
    <row r="65" ht="14.25" customHeight="1">
      <c r="A65" s="1" t="s">
        <v>62</v>
      </c>
      <c r="B65" s="2">
        <f>sum(66+G65)</f>
        <v>79</v>
      </c>
      <c r="C65" s="2">
        <f t="shared" ref="C65:D65" si="60">sum(1+H65)</f>
        <v>2</v>
      </c>
      <c r="D65" s="2">
        <f t="shared" si="60"/>
        <v>2</v>
      </c>
      <c r="E65" s="2">
        <f t="shared" ref="E65:E66" si="62">SUM(B65:D65)</f>
        <v>83</v>
      </c>
      <c r="G65" s="2">
        <v>13.0</v>
      </c>
      <c r="H65" s="2">
        <v>1.0</v>
      </c>
      <c r="I65" s="2">
        <v>1.0</v>
      </c>
    </row>
    <row r="66" ht="14.25" customHeight="1">
      <c r="A66" s="1"/>
      <c r="B66" s="3">
        <f t="shared" ref="B66:D66" si="61">(B65/$E$133)*100</f>
        <v>3.298538622</v>
      </c>
      <c r="C66" s="3">
        <f t="shared" si="61"/>
        <v>0.08350730689</v>
      </c>
      <c r="D66" s="3">
        <f t="shared" si="61"/>
        <v>0.08350730689</v>
      </c>
      <c r="E66" s="3">
        <f t="shared" si="62"/>
        <v>3.465553236</v>
      </c>
    </row>
    <row r="67" ht="14.25" customHeight="1">
      <c r="A67" s="1"/>
      <c r="B67" s="3">
        <f t="shared" ref="B67:D67" si="63">(B65/$E$65)*100</f>
        <v>95.18072289</v>
      </c>
      <c r="C67" s="3">
        <f t="shared" si="63"/>
        <v>2.409638554</v>
      </c>
      <c r="D67" s="3">
        <f t="shared" si="63"/>
        <v>2.409638554</v>
      </c>
    </row>
    <row r="68" ht="14.25" customHeight="1">
      <c r="A68" s="1"/>
      <c r="B68" s="3">
        <f t="shared" ref="B68:D68" si="64">(B65/B133)*100</f>
        <v>4.598370198</v>
      </c>
      <c r="C68" s="3">
        <f t="shared" si="64"/>
        <v>0.7142857143</v>
      </c>
      <c r="D68" s="3">
        <f t="shared" si="64"/>
        <v>0.5037783375</v>
      </c>
    </row>
    <row r="69" ht="14.25" customHeight="1">
      <c r="A69" s="6" t="s">
        <v>63</v>
      </c>
      <c r="B69" s="2">
        <v>1.0</v>
      </c>
      <c r="C69" s="2">
        <v>6.0</v>
      </c>
      <c r="D69" s="2">
        <v>9.0</v>
      </c>
      <c r="E69" s="2">
        <v>16.0</v>
      </c>
      <c r="G69" s="2">
        <v>1.0</v>
      </c>
      <c r="H69" s="2">
        <v>6.0</v>
      </c>
      <c r="I69" s="2">
        <v>9.0</v>
      </c>
    </row>
    <row r="70" ht="14.25" customHeight="1">
      <c r="A70" s="1"/>
      <c r="B70" s="10">
        <f t="shared" ref="B70:D70" si="65">(B69/$E$133)*100</f>
        <v>0.04175365344</v>
      </c>
      <c r="C70" s="11">
        <f t="shared" si="65"/>
        <v>0.2505219207</v>
      </c>
      <c r="D70" s="7">
        <f t="shared" si="65"/>
        <v>0.375782881</v>
      </c>
      <c r="E70" s="10">
        <f>SUM(B70:D70)</f>
        <v>0.6680584551</v>
      </c>
      <c r="G70" s="2"/>
      <c r="H70" s="2"/>
      <c r="I70" s="2"/>
    </row>
    <row r="71" ht="14.25" customHeight="1">
      <c r="A71" s="1"/>
      <c r="B71" s="3">
        <f t="shared" ref="B71:D71" si="66">(B69/$E$69)*100</f>
        <v>6.25</v>
      </c>
      <c r="C71" s="12">
        <f t="shared" si="66"/>
        <v>37.5</v>
      </c>
      <c r="D71" s="3">
        <f t="shared" si="66"/>
        <v>56.25</v>
      </c>
      <c r="G71" s="2"/>
      <c r="H71" s="2"/>
      <c r="I71" s="2"/>
    </row>
    <row r="72" ht="14.25" customHeight="1">
      <c r="A72" s="1"/>
      <c r="B72" s="13">
        <f t="shared" ref="B72:D72" si="67">(B69/B133)*100</f>
        <v>0.05820721769</v>
      </c>
      <c r="C72" s="3">
        <f t="shared" si="67"/>
        <v>2.142857143</v>
      </c>
      <c r="D72" s="2">
        <f t="shared" si="67"/>
        <v>2.267002519</v>
      </c>
      <c r="G72" s="2"/>
      <c r="H72" s="2"/>
      <c r="I72" s="2"/>
    </row>
    <row r="73" ht="14.25" customHeight="1">
      <c r="A73" s="6" t="s">
        <v>64</v>
      </c>
      <c r="B73" s="2">
        <v>4.0</v>
      </c>
      <c r="C73" s="2">
        <v>5.0</v>
      </c>
      <c r="D73" s="2">
        <v>4.0</v>
      </c>
      <c r="E73" s="2">
        <f t="shared" ref="E73:E74" si="69">SUM(B73:D73)</f>
        <v>13</v>
      </c>
      <c r="G73" s="2">
        <v>4.0</v>
      </c>
      <c r="H73" s="2">
        <v>5.0</v>
      </c>
      <c r="I73" s="2">
        <v>4.0</v>
      </c>
    </row>
    <row r="74" ht="14.25" customHeight="1">
      <c r="A74" s="1"/>
      <c r="B74" s="14">
        <f t="shared" ref="B74:D74" si="68">(B73/$E$133)*100</f>
        <v>0.1670146138</v>
      </c>
      <c r="C74" s="15">
        <f t="shared" si="68"/>
        <v>0.2087682672</v>
      </c>
      <c r="D74" s="14">
        <f t="shared" si="68"/>
        <v>0.1670146138</v>
      </c>
      <c r="E74" s="7">
        <f t="shared" si="69"/>
        <v>0.5427974948</v>
      </c>
      <c r="G74" s="2"/>
      <c r="H74" s="2"/>
      <c r="I74" s="2"/>
    </row>
    <row r="75" ht="14.25" customHeight="1">
      <c r="A75" s="1"/>
      <c r="B75" s="3">
        <f t="shared" ref="B75:D75" si="70">(B73/$E$73)*100</f>
        <v>30.76923077</v>
      </c>
      <c r="C75" s="3">
        <f t="shared" si="70"/>
        <v>38.46153846</v>
      </c>
      <c r="D75" s="3">
        <f t="shared" si="70"/>
        <v>30.76923077</v>
      </c>
      <c r="G75" s="2"/>
      <c r="H75" s="2"/>
      <c r="I75" s="2"/>
    </row>
    <row r="76" ht="14.25" customHeight="1">
      <c r="A76" s="1"/>
      <c r="B76" s="7">
        <f t="shared" ref="B76:D76" si="71">(B73/B133)*100</f>
        <v>0.2328288708</v>
      </c>
      <c r="C76" s="3">
        <f t="shared" si="71"/>
        <v>1.785714286</v>
      </c>
      <c r="D76" s="3">
        <f t="shared" si="71"/>
        <v>1.007556675</v>
      </c>
      <c r="G76" s="2"/>
      <c r="H76" s="2"/>
      <c r="I76" s="2"/>
    </row>
    <row r="77" ht="14.25" customHeight="1">
      <c r="A77" s="1" t="s">
        <v>65</v>
      </c>
      <c r="B77" s="2">
        <f>sum(91,G77)</f>
        <v>106</v>
      </c>
      <c r="C77" s="2">
        <v>6.0</v>
      </c>
      <c r="D77" s="2">
        <f>sum(6,I77)</f>
        <v>7</v>
      </c>
      <c r="E77" s="2">
        <f t="shared" ref="E77:E78" si="73">SUM(B77:D77)</f>
        <v>119</v>
      </c>
      <c r="G77" s="2">
        <v>15.0</v>
      </c>
      <c r="H77" s="2">
        <v>0.0</v>
      </c>
      <c r="I77" s="2">
        <v>1.0</v>
      </c>
    </row>
    <row r="78" ht="14.25" customHeight="1">
      <c r="A78" s="1"/>
      <c r="B78" s="3">
        <f t="shared" ref="B78:D78" si="72">(B77/$E$133)*100</f>
        <v>4.425887265</v>
      </c>
      <c r="C78" s="3">
        <f t="shared" si="72"/>
        <v>0.2505219207</v>
      </c>
      <c r="D78" s="3">
        <f t="shared" si="72"/>
        <v>0.2922755741</v>
      </c>
      <c r="E78" s="3">
        <f t="shared" si="73"/>
        <v>4.96868476</v>
      </c>
    </row>
    <row r="79" ht="14.25" customHeight="1">
      <c r="A79" s="1"/>
      <c r="B79" s="3">
        <f t="shared" ref="B79:D79" si="74">(B77/$E$77)*100</f>
        <v>89.07563025</v>
      </c>
      <c r="C79" s="3">
        <f t="shared" si="74"/>
        <v>5.042016807</v>
      </c>
      <c r="D79" s="3">
        <f t="shared" si="74"/>
        <v>5.882352941</v>
      </c>
    </row>
    <row r="80" ht="14.25" customHeight="1">
      <c r="A80" s="1"/>
      <c r="B80" s="3">
        <f t="shared" ref="B80:D80" si="75">(B77/B133)*100</f>
        <v>6.169965076</v>
      </c>
      <c r="C80" s="3">
        <f t="shared" si="75"/>
        <v>2.142857143</v>
      </c>
      <c r="D80" s="3">
        <f t="shared" si="75"/>
        <v>1.763224181</v>
      </c>
    </row>
    <row r="81" ht="14.25" customHeight="1">
      <c r="A81" s="1" t="s">
        <v>66</v>
      </c>
      <c r="B81" s="2">
        <v>5.0</v>
      </c>
      <c r="C81" s="2">
        <f>sum(19,H81)</f>
        <v>21</v>
      </c>
      <c r="D81" s="2">
        <f>sum(8,I81)</f>
        <v>22</v>
      </c>
      <c r="E81" s="2">
        <f t="shared" ref="E81:E82" si="77">SUM(B81:D81)</f>
        <v>48</v>
      </c>
      <c r="G81" s="2">
        <v>0.0</v>
      </c>
      <c r="H81" s="2">
        <v>2.0</v>
      </c>
      <c r="I81" s="2">
        <v>14.0</v>
      </c>
    </row>
    <row r="82" ht="14.25" customHeight="1">
      <c r="A82" s="1"/>
      <c r="B82" s="3">
        <f t="shared" ref="B82:D82" si="76">(B81/$E$133)*100</f>
        <v>0.2087682672</v>
      </c>
      <c r="C82" s="3">
        <f t="shared" si="76"/>
        <v>0.8768267223</v>
      </c>
      <c r="D82" s="3">
        <f t="shared" si="76"/>
        <v>0.9185803758</v>
      </c>
      <c r="E82" s="3">
        <f t="shared" si="77"/>
        <v>2.004175365</v>
      </c>
    </row>
    <row r="83" ht="14.25" customHeight="1">
      <c r="A83" s="1"/>
      <c r="B83" s="3">
        <f t="shared" ref="B83:D83" si="78">(B81/$E$81)*100</f>
        <v>10.41666667</v>
      </c>
      <c r="C83" s="3">
        <f t="shared" si="78"/>
        <v>43.75</v>
      </c>
      <c r="D83" s="3">
        <f t="shared" si="78"/>
        <v>45.83333333</v>
      </c>
    </row>
    <row r="84" ht="14.25" customHeight="1">
      <c r="A84" s="1"/>
      <c r="B84" s="3">
        <f t="shared" ref="B84:D84" si="79">(B81/B133)*100</f>
        <v>0.2910360885</v>
      </c>
      <c r="C84" s="3">
        <f t="shared" si="79"/>
        <v>7.5</v>
      </c>
      <c r="D84" s="3">
        <f t="shared" si="79"/>
        <v>5.541561713</v>
      </c>
    </row>
    <row r="85" ht="14.25" customHeight="1">
      <c r="A85" s="6" t="s">
        <v>67</v>
      </c>
      <c r="B85" s="2">
        <v>0.0</v>
      </c>
      <c r="C85" s="2">
        <v>4.0</v>
      </c>
      <c r="D85" s="2">
        <v>10.0</v>
      </c>
      <c r="E85" s="2">
        <f t="shared" ref="E85:E86" si="81">SUM(B85:D85)</f>
        <v>14</v>
      </c>
      <c r="G85" s="2">
        <v>0.0</v>
      </c>
      <c r="H85" s="2">
        <v>4.0</v>
      </c>
      <c r="I85" s="2">
        <v>10.0</v>
      </c>
    </row>
    <row r="86" ht="14.25" customHeight="1">
      <c r="A86" s="1"/>
      <c r="B86" s="2">
        <f t="shared" ref="B86:D86" si="80">(B85/$E$133)*100</f>
        <v>0</v>
      </c>
      <c r="C86" s="3">
        <f t="shared" si="80"/>
        <v>0.1670146138</v>
      </c>
      <c r="D86" s="3">
        <f t="shared" si="80"/>
        <v>0.4175365344</v>
      </c>
      <c r="E86" s="3">
        <f t="shared" si="81"/>
        <v>0.5845511482</v>
      </c>
      <c r="G86" s="2"/>
      <c r="H86" s="2"/>
      <c r="I86" s="2"/>
    </row>
    <row r="87" ht="14.25" customHeight="1">
      <c r="A87" s="1"/>
      <c r="B87" s="2">
        <f t="shared" ref="B87:D87" si="82">(B85/$E$85)*100</f>
        <v>0</v>
      </c>
      <c r="C87" s="3">
        <f t="shared" si="82"/>
        <v>28.57142857</v>
      </c>
      <c r="D87" s="3">
        <f t="shared" si="82"/>
        <v>71.42857143</v>
      </c>
      <c r="G87" s="2"/>
      <c r="H87" s="2"/>
      <c r="I87" s="2"/>
    </row>
    <row r="88" ht="14.25" customHeight="1">
      <c r="A88" s="1"/>
      <c r="B88" s="2">
        <f t="shared" ref="B88:D88" si="83">(B85/B133)*100</f>
        <v>0</v>
      </c>
      <c r="C88" s="3">
        <f t="shared" si="83"/>
        <v>1.428571429</v>
      </c>
      <c r="D88" s="3">
        <f t="shared" si="83"/>
        <v>2.518891688</v>
      </c>
      <c r="G88" s="2"/>
      <c r="H88" s="2"/>
      <c r="I88" s="2"/>
    </row>
    <row r="89" ht="14.25" customHeight="1">
      <c r="A89" s="1" t="s">
        <v>68</v>
      </c>
      <c r="B89" s="2">
        <v>1.0</v>
      </c>
      <c r="C89" s="2">
        <v>7.0</v>
      </c>
      <c r="D89" s="2">
        <f>sum(24,I89)</f>
        <v>40</v>
      </c>
      <c r="E89" s="2">
        <f t="shared" ref="E89:E90" si="85">SUM(B89:D89)</f>
        <v>48</v>
      </c>
      <c r="G89" s="2">
        <v>0.0</v>
      </c>
      <c r="H89" s="2">
        <v>0.0</v>
      </c>
      <c r="I89" s="2">
        <v>16.0</v>
      </c>
    </row>
    <row r="90" ht="14.25" customHeight="1">
      <c r="A90" s="1"/>
      <c r="B90" s="3">
        <f t="shared" ref="B90:D90" si="84">(B89/$E$133)*100</f>
        <v>0.04175365344</v>
      </c>
      <c r="C90" s="3">
        <f t="shared" si="84"/>
        <v>0.2922755741</v>
      </c>
      <c r="D90" s="3">
        <f t="shared" si="84"/>
        <v>1.670146138</v>
      </c>
      <c r="E90" s="3">
        <f t="shared" si="85"/>
        <v>2.004175365</v>
      </c>
    </row>
    <row r="91" ht="14.25" customHeight="1">
      <c r="A91" s="1"/>
      <c r="B91" s="3">
        <f t="shared" ref="B91:D91" si="86">(B89/$E$89)*100</f>
        <v>2.083333333</v>
      </c>
      <c r="C91" s="3">
        <f t="shared" si="86"/>
        <v>14.58333333</v>
      </c>
      <c r="D91" s="3">
        <f t="shared" si="86"/>
        <v>83.33333333</v>
      </c>
    </row>
    <row r="92" ht="14.25" customHeight="1">
      <c r="A92" s="1"/>
      <c r="B92" s="3">
        <f t="shared" ref="B92:D92" si="87">(B89/B133)*100</f>
        <v>0.05820721769</v>
      </c>
      <c r="C92" s="3">
        <f t="shared" si="87"/>
        <v>2.5</v>
      </c>
      <c r="D92" s="3">
        <f t="shared" si="87"/>
        <v>10.07556675</v>
      </c>
    </row>
    <row r="93" ht="14.25" customHeight="1">
      <c r="A93" s="1" t="s">
        <v>69</v>
      </c>
      <c r="B93" s="2">
        <f>sum(82,G93)</f>
        <v>96</v>
      </c>
      <c r="C93" s="2">
        <f>sum(14,H93)</f>
        <v>15</v>
      </c>
      <c r="D93" s="2">
        <f>sum(5,1)</f>
        <v>6</v>
      </c>
      <c r="E93" s="2">
        <f t="shared" ref="E93:E94" si="89">SUM(B93:D93)</f>
        <v>117</v>
      </c>
      <c r="G93" s="2">
        <v>14.0</v>
      </c>
      <c r="H93" s="2">
        <v>1.0</v>
      </c>
      <c r="I93" s="2">
        <v>1.0</v>
      </c>
    </row>
    <row r="94" ht="14.25" customHeight="1">
      <c r="A94" s="1"/>
      <c r="B94" s="3">
        <f t="shared" ref="B94:D94" si="88">(B93/$E$133)*100</f>
        <v>4.008350731</v>
      </c>
      <c r="C94" s="3">
        <f t="shared" si="88"/>
        <v>0.6263048017</v>
      </c>
      <c r="D94" s="3">
        <f t="shared" si="88"/>
        <v>0.2505219207</v>
      </c>
      <c r="E94" s="3">
        <f t="shared" si="89"/>
        <v>4.885177453</v>
      </c>
    </row>
    <row r="95" ht="14.25" customHeight="1">
      <c r="A95" s="1"/>
      <c r="B95" s="3">
        <f t="shared" ref="B95:D95" si="90">(B93/$E$93)*100</f>
        <v>82.05128205</v>
      </c>
      <c r="C95" s="3">
        <f t="shared" si="90"/>
        <v>12.82051282</v>
      </c>
      <c r="D95" s="3">
        <f t="shared" si="90"/>
        <v>5.128205128</v>
      </c>
    </row>
    <row r="96" ht="14.25" customHeight="1">
      <c r="A96" s="1"/>
      <c r="B96" s="3">
        <f t="shared" ref="B96:D96" si="91">(B93/B133)*100</f>
        <v>5.587892899</v>
      </c>
      <c r="C96" s="3">
        <f t="shared" si="91"/>
        <v>5.357142857</v>
      </c>
      <c r="D96" s="3">
        <f t="shared" si="91"/>
        <v>1.511335013</v>
      </c>
    </row>
    <row r="97" ht="14.25" customHeight="1">
      <c r="A97" s="1" t="s">
        <v>70</v>
      </c>
      <c r="B97" s="2">
        <f>sum(9,G97)</f>
        <v>15</v>
      </c>
      <c r="C97" s="2">
        <f>sum(H97,6)</f>
        <v>8</v>
      </c>
      <c r="D97" s="2">
        <f>sum(1,8)</f>
        <v>9</v>
      </c>
      <c r="E97" s="2">
        <f t="shared" ref="E97:E98" si="93">SUM(B97:D97)</f>
        <v>32</v>
      </c>
      <c r="G97" s="2">
        <v>6.0</v>
      </c>
      <c r="H97" s="2">
        <v>2.0</v>
      </c>
      <c r="I97" s="2">
        <v>8.0</v>
      </c>
    </row>
    <row r="98" ht="14.25" customHeight="1">
      <c r="A98" s="1"/>
      <c r="B98" s="3">
        <f t="shared" ref="B98:D98" si="92">(B97/$E$133)*100</f>
        <v>0.6263048017</v>
      </c>
      <c r="C98" s="3">
        <f t="shared" si="92"/>
        <v>0.3340292276</v>
      </c>
      <c r="D98" s="3">
        <f t="shared" si="92"/>
        <v>0.375782881</v>
      </c>
      <c r="E98" s="3">
        <f t="shared" si="93"/>
        <v>1.33611691</v>
      </c>
    </row>
    <row r="99" ht="14.25" customHeight="1">
      <c r="A99" s="1"/>
      <c r="B99" s="3">
        <f t="shared" ref="B99:D99" si="94">(B97/$E$97)*100</f>
        <v>46.875</v>
      </c>
      <c r="C99" s="2">
        <f t="shared" si="94"/>
        <v>25</v>
      </c>
      <c r="D99" s="3">
        <f t="shared" si="94"/>
        <v>28.125</v>
      </c>
    </row>
    <row r="100" ht="14.25" customHeight="1">
      <c r="A100" s="1"/>
      <c r="B100" s="3">
        <f t="shared" ref="B100:D100" si="95">(B97/B133)*100</f>
        <v>0.8731082654</v>
      </c>
      <c r="C100" s="3">
        <f t="shared" si="95"/>
        <v>2.857142857</v>
      </c>
      <c r="D100" s="3">
        <f t="shared" si="95"/>
        <v>2.267002519</v>
      </c>
    </row>
    <row r="101" ht="14.25" customHeight="1">
      <c r="A101" s="1" t="s">
        <v>71</v>
      </c>
      <c r="B101" s="2">
        <f>sum(94,G101)</f>
        <v>109</v>
      </c>
      <c r="C101" s="2">
        <v>3.0</v>
      </c>
      <c r="D101" s="2">
        <f>sum(6,I101)</f>
        <v>7</v>
      </c>
      <c r="E101" s="2">
        <f t="shared" ref="E101:E102" si="97">SUM(B101:D101)</f>
        <v>119</v>
      </c>
      <c r="G101" s="2">
        <v>15.0</v>
      </c>
      <c r="H101" s="2">
        <v>0.0</v>
      </c>
      <c r="I101" s="2">
        <v>1.0</v>
      </c>
    </row>
    <row r="102" ht="14.25" customHeight="1">
      <c r="A102" s="1"/>
      <c r="B102" s="3">
        <f t="shared" ref="B102:D102" si="96">(B101/$E$133)*100</f>
        <v>4.551148225</v>
      </c>
      <c r="C102" s="3">
        <f t="shared" si="96"/>
        <v>0.1252609603</v>
      </c>
      <c r="D102" s="3">
        <f t="shared" si="96"/>
        <v>0.2922755741</v>
      </c>
      <c r="E102" s="3">
        <f t="shared" si="97"/>
        <v>4.96868476</v>
      </c>
    </row>
    <row r="103" ht="14.25" customHeight="1">
      <c r="A103" s="1"/>
      <c r="B103" s="3">
        <f t="shared" ref="B103:D103" si="98">(B101/$E$101)*100</f>
        <v>91.59663866</v>
      </c>
      <c r="C103" s="3">
        <f t="shared" si="98"/>
        <v>2.521008403</v>
      </c>
      <c r="D103" s="3">
        <f t="shared" si="98"/>
        <v>5.882352941</v>
      </c>
    </row>
    <row r="104" ht="14.25" customHeight="1">
      <c r="A104" s="1"/>
      <c r="B104" s="3">
        <f t="shared" ref="B104:D104" si="99">(B101/B133)*100</f>
        <v>6.344586729</v>
      </c>
      <c r="C104" s="3">
        <f t="shared" si="99"/>
        <v>1.071428571</v>
      </c>
      <c r="D104" s="3">
        <f t="shared" si="99"/>
        <v>1.763224181</v>
      </c>
    </row>
    <row r="105" ht="14.25" customHeight="1">
      <c r="A105" s="1" t="s">
        <v>72</v>
      </c>
      <c r="B105" s="2">
        <f>sum(96,G105)</f>
        <v>106</v>
      </c>
      <c r="C105" s="2">
        <f>sum(16,H105)</f>
        <v>19</v>
      </c>
      <c r="D105" s="2">
        <f>sum(11,I105)</f>
        <v>14</v>
      </c>
      <c r="E105" s="2">
        <f t="shared" ref="E105:E106" si="101">SUM(B105:D105)</f>
        <v>139</v>
      </c>
      <c r="G105" s="2">
        <v>10.0</v>
      </c>
      <c r="H105" s="2">
        <v>3.0</v>
      </c>
      <c r="I105" s="2">
        <v>3.0</v>
      </c>
    </row>
    <row r="106" ht="14.25" customHeight="1">
      <c r="A106" s="1"/>
      <c r="B106" s="3">
        <f t="shared" ref="B106:D106" si="100">(B105/$E$133)*100</f>
        <v>4.425887265</v>
      </c>
      <c r="C106" s="3">
        <f t="shared" si="100"/>
        <v>0.7933194154</v>
      </c>
      <c r="D106" s="3">
        <f t="shared" si="100"/>
        <v>0.5845511482</v>
      </c>
      <c r="E106" s="3">
        <f t="shared" si="101"/>
        <v>5.803757829</v>
      </c>
    </row>
    <row r="107" ht="14.25" customHeight="1">
      <c r="A107" s="1"/>
      <c r="B107" s="3">
        <f t="shared" ref="B107:D107" si="102">(B105/$E$105)*100</f>
        <v>76.25899281</v>
      </c>
      <c r="C107" s="3">
        <f t="shared" si="102"/>
        <v>13.66906475</v>
      </c>
      <c r="D107" s="3">
        <f t="shared" si="102"/>
        <v>10.07194245</v>
      </c>
    </row>
    <row r="108" ht="14.25" customHeight="1">
      <c r="A108" s="1"/>
      <c r="B108" s="3">
        <f t="shared" ref="B108:D108" si="103">(B105/B133)*100</f>
        <v>6.169965076</v>
      </c>
      <c r="C108" s="3">
        <f t="shared" si="103"/>
        <v>6.785714286</v>
      </c>
      <c r="D108" s="3">
        <f t="shared" si="103"/>
        <v>3.526448363</v>
      </c>
    </row>
    <row r="109" ht="14.25" customHeight="1">
      <c r="A109" s="1" t="s">
        <v>73</v>
      </c>
      <c r="B109" s="2">
        <f>sum(106,G109)</f>
        <v>119</v>
      </c>
      <c r="C109" s="2">
        <v>9.0</v>
      </c>
      <c r="D109" s="2">
        <f>sum(7,3)</f>
        <v>10</v>
      </c>
      <c r="E109" s="2">
        <f t="shared" ref="E109:E110" si="105">SUM(B109:D109)</f>
        <v>138</v>
      </c>
      <c r="G109" s="2">
        <v>13.0</v>
      </c>
      <c r="H109" s="2">
        <v>0.0</v>
      </c>
      <c r="I109" s="2">
        <v>3.0</v>
      </c>
    </row>
    <row r="110" ht="14.25" customHeight="1">
      <c r="A110" s="1"/>
      <c r="B110" s="3">
        <f t="shared" ref="B110:D110" si="104">(B109/$E$133)*100</f>
        <v>4.96868476</v>
      </c>
      <c r="C110" s="3">
        <f t="shared" si="104"/>
        <v>0.375782881</v>
      </c>
      <c r="D110" s="3">
        <f t="shared" si="104"/>
        <v>0.4175365344</v>
      </c>
      <c r="E110" s="3">
        <f t="shared" si="105"/>
        <v>5.762004175</v>
      </c>
    </row>
    <row r="111" ht="14.25" customHeight="1">
      <c r="A111" s="1"/>
      <c r="B111" s="3">
        <f t="shared" ref="B111:D111" si="106">(B109/$E$109)*100</f>
        <v>86.23188406</v>
      </c>
      <c r="C111" s="3">
        <f t="shared" si="106"/>
        <v>6.52173913</v>
      </c>
      <c r="D111" s="3">
        <f t="shared" si="106"/>
        <v>7.246376812</v>
      </c>
    </row>
    <row r="112" ht="14.25" customHeight="1">
      <c r="A112" s="1"/>
      <c r="B112" s="3">
        <f t="shared" ref="B112:D112" si="107">(B109/B133)*100</f>
        <v>6.926658906</v>
      </c>
      <c r="C112" s="3">
        <f t="shared" si="107"/>
        <v>3.214285714</v>
      </c>
      <c r="D112" s="3">
        <f t="shared" si="107"/>
        <v>2.518891688</v>
      </c>
    </row>
    <row r="113" ht="14.25" customHeight="1">
      <c r="A113" s="1" t="s">
        <v>74</v>
      </c>
      <c r="B113" s="2">
        <f>sum(11,G113)</f>
        <v>24</v>
      </c>
      <c r="C113" s="2">
        <f>sum(4,H113)</f>
        <v>5</v>
      </c>
      <c r="D113" s="2">
        <f>sum(1,I113)</f>
        <v>3</v>
      </c>
      <c r="E113" s="2">
        <f t="shared" ref="E113:E114" si="109">SUM(B113:D113)</f>
        <v>32</v>
      </c>
      <c r="G113" s="2">
        <v>13.0</v>
      </c>
      <c r="H113" s="2">
        <v>1.0</v>
      </c>
      <c r="I113" s="2">
        <v>2.0</v>
      </c>
    </row>
    <row r="114" ht="14.25" customHeight="1">
      <c r="A114" s="1"/>
      <c r="B114" s="3">
        <f t="shared" ref="B114:D114" si="108">(B113/$E$133)*100</f>
        <v>1.002087683</v>
      </c>
      <c r="C114" s="3">
        <f t="shared" si="108"/>
        <v>0.2087682672</v>
      </c>
      <c r="D114" s="3">
        <f t="shared" si="108"/>
        <v>0.1252609603</v>
      </c>
      <c r="E114" s="3">
        <f t="shared" si="109"/>
        <v>1.33611691</v>
      </c>
    </row>
    <row r="115" ht="14.25" customHeight="1">
      <c r="A115" s="1"/>
      <c r="B115" s="2">
        <f t="shared" ref="B115:D115" si="110">(B113/$E$113)*100</f>
        <v>75</v>
      </c>
      <c r="C115" s="3">
        <f t="shared" si="110"/>
        <v>15.625</v>
      </c>
      <c r="D115" s="3">
        <f t="shared" si="110"/>
        <v>9.375</v>
      </c>
    </row>
    <row r="116" ht="14.25" customHeight="1">
      <c r="A116" s="1"/>
      <c r="B116" s="3">
        <f t="shared" ref="B116:D116" si="111">(B113/B133)*100</f>
        <v>1.396973225</v>
      </c>
      <c r="C116" s="3">
        <f t="shared" si="111"/>
        <v>1.785714286</v>
      </c>
      <c r="D116" s="3">
        <f t="shared" si="111"/>
        <v>0.7556675063</v>
      </c>
    </row>
    <row r="117" ht="14.25" customHeight="1">
      <c r="A117" s="1" t="s">
        <v>75</v>
      </c>
      <c r="B117" s="2">
        <v>70.0</v>
      </c>
      <c r="C117" s="2">
        <v>4.0</v>
      </c>
      <c r="D117" s="2">
        <v>9.0</v>
      </c>
      <c r="E117" s="2">
        <f t="shared" ref="E117:E118" si="113">SUM(B117:D117)</f>
        <v>83</v>
      </c>
      <c r="G117" s="2">
        <v>14.0</v>
      </c>
      <c r="H117" s="2">
        <v>1.0</v>
      </c>
      <c r="I117" s="2">
        <v>1.0</v>
      </c>
    </row>
    <row r="118" ht="14.25" customHeight="1">
      <c r="A118" s="1"/>
      <c r="B118" s="3">
        <f t="shared" ref="B118:D118" si="112">(B117/$E$133)*100</f>
        <v>2.922755741</v>
      </c>
      <c r="C118" s="3">
        <f t="shared" si="112"/>
        <v>0.1670146138</v>
      </c>
      <c r="D118" s="3">
        <f t="shared" si="112"/>
        <v>0.375782881</v>
      </c>
      <c r="E118" s="3">
        <f t="shared" si="113"/>
        <v>3.465553236</v>
      </c>
    </row>
    <row r="119" ht="14.25" customHeight="1">
      <c r="A119" s="1"/>
      <c r="B119" s="3">
        <f t="shared" ref="B119:D119" si="114">(B117/$E$117)*100</f>
        <v>84.3373494</v>
      </c>
      <c r="C119" s="3">
        <f t="shared" si="114"/>
        <v>4.819277108</v>
      </c>
      <c r="D119" s="3">
        <f t="shared" si="114"/>
        <v>10.84337349</v>
      </c>
    </row>
    <row r="120" ht="14.25" customHeight="1">
      <c r="A120" s="1"/>
      <c r="B120" s="3">
        <f t="shared" ref="B120:D120" si="115">(B117/B133)*100</f>
        <v>4.074505239</v>
      </c>
      <c r="C120" s="3">
        <f t="shared" si="115"/>
        <v>1.428571429</v>
      </c>
      <c r="D120" s="3">
        <f t="shared" si="115"/>
        <v>2.267002519</v>
      </c>
    </row>
    <row r="121" ht="14.25" customHeight="1">
      <c r="A121" s="1" t="s">
        <v>42</v>
      </c>
      <c r="B121" s="2">
        <v>19.0</v>
      </c>
      <c r="C121" s="2">
        <v>0.0</v>
      </c>
      <c r="D121" s="2">
        <v>0.0</v>
      </c>
      <c r="E121" s="2">
        <f t="shared" ref="E121:E122" si="117">SUM(B121:D121)</f>
        <v>19</v>
      </c>
    </row>
    <row r="122" ht="14.25" customHeight="1">
      <c r="A122" s="1"/>
      <c r="B122" s="3">
        <f t="shared" ref="B122:D122" si="116">(B121/$E$133)*100</f>
        <v>0.7933194154</v>
      </c>
      <c r="C122" s="16">
        <f t="shared" si="116"/>
        <v>0</v>
      </c>
      <c r="D122" s="16">
        <f t="shared" si="116"/>
        <v>0</v>
      </c>
      <c r="E122" s="3">
        <f t="shared" si="117"/>
        <v>0.7933194154</v>
      </c>
    </row>
    <row r="123" ht="14.25" customHeight="1">
      <c r="A123" s="1"/>
      <c r="B123" s="2">
        <v>100.0</v>
      </c>
      <c r="C123" s="2">
        <v>0.0</v>
      </c>
      <c r="D123" s="2">
        <v>0.0</v>
      </c>
    </row>
    <row r="124" ht="14.25" customHeight="1">
      <c r="A124" s="1"/>
      <c r="B124" s="3">
        <f>(B121/B133)*100</f>
        <v>1.105937136</v>
      </c>
      <c r="C124" s="2">
        <v>0.0</v>
      </c>
      <c r="D124" s="2">
        <v>0.0</v>
      </c>
    </row>
    <row r="125" ht="14.25" customHeight="1">
      <c r="A125" s="6" t="s">
        <v>76</v>
      </c>
      <c r="B125" s="2">
        <v>5.0</v>
      </c>
      <c r="C125" s="2">
        <v>3.0</v>
      </c>
      <c r="D125" s="2">
        <v>5.0</v>
      </c>
      <c r="E125" s="2">
        <f t="shared" ref="E125:E126" si="119">SUM(B125:D125)</f>
        <v>13</v>
      </c>
      <c r="G125" s="2">
        <v>6.0</v>
      </c>
      <c r="H125" s="2">
        <v>3.0</v>
      </c>
      <c r="I125" s="2">
        <v>5.0</v>
      </c>
    </row>
    <row r="126" ht="14.25" customHeight="1">
      <c r="A126" s="1"/>
      <c r="B126" s="3">
        <f t="shared" ref="B126:D126" si="118">(B125/$E$133)*100</f>
        <v>0.2087682672</v>
      </c>
      <c r="C126" s="3">
        <f t="shared" si="118"/>
        <v>0.1252609603</v>
      </c>
      <c r="D126" s="3">
        <f t="shared" si="118"/>
        <v>0.2087682672</v>
      </c>
      <c r="E126" s="3">
        <f t="shared" si="119"/>
        <v>0.5427974948</v>
      </c>
    </row>
    <row r="127" ht="14.25" customHeight="1">
      <c r="A127" s="1"/>
      <c r="B127" s="3">
        <f t="shared" ref="B127:D127" si="120">(B125/$E$125)*100</f>
        <v>38.46153846</v>
      </c>
      <c r="C127" s="3">
        <f t="shared" si="120"/>
        <v>23.07692308</v>
      </c>
      <c r="D127" s="3">
        <f t="shared" si="120"/>
        <v>38.46153846</v>
      </c>
      <c r="E127" s="3"/>
    </row>
    <row r="128" ht="14.25" customHeight="1">
      <c r="A128" s="1"/>
      <c r="B128" s="3">
        <f t="shared" ref="B128:D128" si="121">(B125/B133)*100</f>
        <v>0.2910360885</v>
      </c>
      <c r="C128" s="3">
        <f t="shared" si="121"/>
        <v>1.071428571</v>
      </c>
      <c r="D128" s="3">
        <f t="shared" si="121"/>
        <v>1.259445844</v>
      </c>
      <c r="E128" s="3"/>
    </row>
    <row r="129" ht="14.25" customHeight="1">
      <c r="A129" s="1" t="s">
        <v>43</v>
      </c>
      <c r="B129" s="2">
        <v>1.0</v>
      </c>
      <c r="C129" s="2">
        <v>0.0</v>
      </c>
      <c r="D129" s="2">
        <v>0.0</v>
      </c>
      <c r="E129" s="2">
        <f t="shared" ref="E129:E130" si="123">SUM(B129:D129)</f>
        <v>1</v>
      </c>
    </row>
    <row r="130" ht="14.25" customHeight="1">
      <c r="A130" s="1"/>
      <c r="B130" s="3">
        <f t="shared" ref="B130:D130" si="122">(B129/$E$133)*100</f>
        <v>0.04175365344</v>
      </c>
      <c r="C130" s="2">
        <f t="shared" si="122"/>
        <v>0</v>
      </c>
      <c r="D130" s="2">
        <f t="shared" si="122"/>
        <v>0</v>
      </c>
      <c r="E130" s="3">
        <f t="shared" si="123"/>
        <v>0.04175365344</v>
      </c>
    </row>
    <row r="131" ht="14.25" customHeight="1">
      <c r="A131" s="1"/>
      <c r="B131" s="2">
        <v>100.0</v>
      </c>
      <c r="C131" s="2">
        <v>0.0</v>
      </c>
      <c r="D131" s="2">
        <v>0.0</v>
      </c>
    </row>
    <row r="132" ht="14.25" customHeight="1">
      <c r="A132" s="1"/>
      <c r="B132" s="3">
        <f>(B129/B133)*100</f>
        <v>0.05820721769</v>
      </c>
      <c r="C132" s="2">
        <v>0.0</v>
      </c>
      <c r="D132" s="2">
        <v>0.0</v>
      </c>
    </row>
    <row r="133" ht="14.25" customHeight="1">
      <c r="A133" s="1" t="s">
        <v>44</v>
      </c>
      <c r="B133" s="2">
        <f>sum(B4,B8,B12,B20,B16,B24,B28,B32,B36,B40,B44,B48,B52,B57,B61,B65,B69,B73,B77,B81,B85,B89,B93,B97,B101,B105,B109,B113,B117,B121,B125,B129)</f>
        <v>1718</v>
      </c>
      <c r="C133" s="2">
        <f t="shared" ref="C133:D133" si="124">sum(C4,C8,C12,C16,C20,C24,C28,C32,C36,C40,C44,C48,C52,C57,C61,C65,C69,C73,C77,C81,C85,C89,C93,C97,C101,C105,C109,C113,C117,C121,C125,C129)</f>
        <v>280</v>
      </c>
      <c r="D133" s="2">
        <f t="shared" si="124"/>
        <v>397</v>
      </c>
      <c r="E133" s="2">
        <f t="shared" ref="E133:E134" si="126">SUM(B133:D133)</f>
        <v>2395</v>
      </c>
    </row>
    <row r="134" ht="14.25" customHeight="1">
      <c r="A134" s="1"/>
      <c r="B134" s="3">
        <f>SUM(B5,B9,B13,B17,B21,B29,B25,B33,B37,B41,B45,B49,B53,B58,B62,B66,B70,B74,B78,B82,B86,B90,B94,B98,B102,B106,B110,B114,B118,B122,B126,B130)</f>
        <v>71.73277662</v>
      </c>
      <c r="C134" s="3">
        <f t="shared" ref="C134:D134" si="125">sum(C5,C9,C13,C17,C21,C25,C29,C33,C37,C41,C45,C49,C53,C58,C62,C66,C70,C74,C78,C82,C86,C90,C94,C98,C102,C106,C110,C114,C118,C122,C126,C130)</f>
        <v>11.69102296</v>
      </c>
      <c r="D134" s="3">
        <f t="shared" si="125"/>
        <v>16.57620042</v>
      </c>
      <c r="E134" s="3">
        <f t="shared" si="126"/>
        <v>100</v>
      </c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  <row r="1002" ht="14.25" customHeight="1">
      <c r="A1002" s="1"/>
    </row>
    <row r="1003" ht="14.25" customHeight="1">
      <c r="A1003" s="1"/>
    </row>
    <row r="1004" ht="14.25" customHeight="1">
      <c r="A1004" s="1"/>
    </row>
    <row r="1005" ht="14.25" customHeight="1">
      <c r="A1005" s="1"/>
    </row>
    <row r="1006" ht="14.25" customHeight="1">
      <c r="A1006" s="1"/>
    </row>
    <row r="1007" ht="14.25" customHeight="1">
      <c r="A1007" s="1"/>
    </row>
    <row r="1008" ht="14.25" customHeight="1">
      <c r="A1008" s="1"/>
    </row>
    <row r="1009" ht="14.25" customHeight="1">
      <c r="A1009" s="1"/>
    </row>
    <row r="1010" ht="14.25" customHeight="1">
      <c r="A1010" s="1"/>
    </row>
    <row r="1011" ht="14.25" customHeight="1">
      <c r="A1011" s="1"/>
    </row>
    <row r="1012" ht="14.25" customHeight="1">
      <c r="A1012" s="1"/>
    </row>
    <row r="1013" ht="14.25" customHeight="1">
      <c r="A1013" s="1"/>
    </row>
    <row r="1014" ht="14.25" customHeight="1">
      <c r="A1014" s="1"/>
    </row>
    <row r="1015" ht="14.25" customHeight="1">
      <c r="A1015" s="1"/>
    </row>
    <row r="1016" ht="14.25" customHeight="1">
      <c r="A1016" s="1"/>
    </row>
    <row r="1017" ht="14.25" customHeight="1">
      <c r="A1017" s="1"/>
    </row>
    <row r="1018" ht="14.25" customHeight="1">
      <c r="A1018" s="1"/>
    </row>
    <row r="1019" ht="14.25" customHeight="1">
      <c r="A1019" s="1"/>
    </row>
    <row r="1020" ht="14.25" customHeight="1">
      <c r="A1020" s="1"/>
    </row>
    <row r="1021" ht="14.25" customHeight="1">
      <c r="A1021" s="1"/>
    </row>
    <row r="1022" ht="14.25" customHeight="1">
      <c r="A1022" s="1"/>
    </row>
    <row r="1023" ht="14.25" customHeight="1">
      <c r="A1023" s="1"/>
    </row>
    <row r="1024" ht="14.25" customHeight="1">
      <c r="A1024" s="1"/>
    </row>
    <row r="1025" ht="14.25" customHeight="1">
      <c r="A1025" s="1"/>
    </row>
    <row r="1026" ht="14.25" customHeight="1">
      <c r="A1026" s="1"/>
    </row>
    <row r="1027" ht="14.25" customHeight="1">
      <c r="A1027" s="1"/>
    </row>
    <row r="1028" ht="14.25" customHeight="1">
      <c r="A1028" s="1"/>
    </row>
    <row r="1029" ht="14.25" customHeight="1">
      <c r="A1029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14"/>
    <col customWidth="1" min="2" max="2" width="15.43"/>
    <col customWidth="1" min="3" max="3" width="13.29"/>
    <col customWidth="1" min="4" max="6" width="8.71"/>
    <col customWidth="1" min="7" max="7" width="13.14"/>
    <col customWidth="1" min="8" max="9" width="8.71"/>
    <col customWidth="1" min="10" max="10" width="29.57"/>
    <col customWidth="1" min="11" max="26" width="8.71"/>
  </cols>
  <sheetData>
    <row r="1" ht="14.25" customHeight="1">
      <c r="A1" s="1" t="s">
        <v>14</v>
      </c>
    </row>
    <row r="2" ht="14.25" customHeight="1">
      <c r="A2" s="1" t="s">
        <v>15</v>
      </c>
      <c r="B2" s="1" t="s">
        <v>0</v>
      </c>
      <c r="C2" s="1"/>
      <c r="D2" s="1"/>
      <c r="E2" s="1"/>
    </row>
    <row r="3" ht="14.25" customHeight="1">
      <c r="A3" s="1"/>
      <c r="B3" s="1" t="s">
        <v>1</v>
      </c>
      <c r="C3" s="1" t="s">
        <v>2</v>
      </c>
      <c r="D3" s="1" t="s">
        <v>3</v>
      </c>
      <c r="E3" s="1" t="s">
        <v>4</v>
      </c>
      <c r="G3" s="5" t="s">
        <v>77</v>
      </c>
    </row>
    <row r="4" ht="14.25" customHeight="1">
      <c r="A4" s="4" t="s">
        <v>46</v>
      </c>
      <c r="B4" s="2">
        <v>123.0</v>
      </c>
      <c r="C4" s="2">
        <v>17.0</v>
      </c>
      <c r="D4" s="2">
        <v>16.0</v>
      </c>
      <c r="E4" s="2">
        <f t="shared" ref="E4:E5" si="2">SUM(B4:D4)</f>
        <v>156</v>
      </c>
      <c r="G4" s="2">
        <v>11.0</v>
      </c>
      <c r="H4" s="2">
        <v>0.0</v>
      </c>
      <c r="I4" s="2">
        <v>5.0</v>
      </c>
      <c r="J4" s="2" t="s">
        <v>16</v>
      </c>
    </row>
    <row r="5" ht="14.25" customHeight="1">
      <c r="A5" s="1"/>
      <c r="B5" s="3">
        <f t="shared" ref="B5:D5" si="1">(B4/$E$133)*100</f>
        <v>4.327938072</v>
      </c>
      <c r="C5" s="3">
        <f t="shared" si="1"/>
        <v>0.5981703026</v>
      </c>
      <c r="D5" s="3">
        <f t="shared" si="1"/>
        <v>0.5629838142</v>
      </c>
      <c r="E5" s="3">
        <f t="shared" si="2"/>
        <v>5.489092189</v>
      </c>
      <c r="J5" s="2" t="s">
        <v>17</v>
      </c>
    </row>
    <row r="6" ht="14.25" customHeight="1">
      <c r="A6" s="1"/>
      <c r="B6" s="2">
        <f t="shared" ref="B6:D6" si="3">(B4/$E$4)*100</f>
        <v>78.84615385</v>
      </c>
      <c r="C6" s="3">
        <f t="shared" si="3"/>
        <v>10.8974359</v>
      </c>
      <c r="D6" s="3">
        <f t="shared" si="3"/>
        <v>10.25641026</v>
      </c>
      <c r="J6" s="2" t="s">
        <v>18</v>
      </c>
    </row>
    <row r="7" ht="14.25" customHeight="1">
      <c r="A7" s="1"/>
      <c r="B7" s="3">
        <f t="shared" ref="B7:D7" si="4">(B4/B133)*100</f>
        <v>6.281920327</v>
      </c>
      <c r="C7" s="3">
        <f t="shared" si="4"/>
        <v>5.105105105</v>
      </c>
      <c r="D7" s="3">
        <f t="shared" si="4"/>
        <v>2.903811252</v>
      </c>
      <c r="J7" s="2" t="s">
        <v>19</v>
      </c>
    </row>
    <row r="8" ht="14.25" customHeight="1">
      <c r="A8" s="1" t="s">
        <v>47</v>
      </c>
      <c r="B8" s="2">
        <v>83.0</v>
      </c>
      <c r="C8" s="2">
        <v>30.0</v>
      </c>
      <c r="D8" s="2">
        <v>42.0</v>
      </c>
      <c r="E8" s="2">
        <f t="shared" ref="E8:E9" si="6">SUM(B8:D8)</f>
        <v>155</v>
      </c>
      <c r="G8" s="2">
        <v>0.0</v>
      </c>
      <c r="H8" s="2">
        <v>4.0</v>
      </c>
      <c r="I8" s="2">
        <v>12.0</v>
      </c>
    </row>
    <row r="9" ht="14.25" customHeight="1">
      <c r="A9" s="1"/>
      <c r="B9" s="3">
        <f t="shared" ref="B9:D9" si="5">(B8/$E$133)*100</f>
        <v>2.920478536</v>
      </c>
      <c r="C9" s="3">
        <f t="shared" si="5"/>
        <v>1.055594652</v>
      </c>
      <c r="D9" s="3">
        <f t="shared" si="5"/>
        <v>1.477832512</v>
      </c>
      <c r="E9" s="3">
        <f t="shared" si="6"/>
        <v>5.4539057</v>
      </c>
    </row>
    <row r="10" ht="14.25" customHeight="1">
      <c r="A10" s="1"/>
      <c r="B10" s="3">
        <f t="shared" ref="B10:D10" si="7">(B8/$E$8)*100</f>
        <v>53.5483871</v>
      </c>
      <c r="C10" s="3">
        <f t="shared" si="7"/>
        <v>19.35483871</v>
      </c>
      <c r="D10" s="3">
        <f t="shared" si="7"/>
        <v>27.09677419</v>
      </c>
    </row>
    <row r="11" ht="14.25" customHeight="1">
      <c r="A11" s="1"/>
      <c r="B11" s="3">
        <f t="shared" ref="B11:D11" si="8">(B8/B133)*100</f>
        <v>4.239019408</v>
      </c>
      <c r="C11" s="3">
        <f t="shared" si="8"/>
        <v>9.009009009</v>
      </c>
      <c r="D11" s="3">
        <f t="shared" si="8"/>
        <v>7.622504537</v>
      </c>
    </row>
    <row r="12" ht="14.25" customHeight="1">
      <c r="A12" s="1" t="s">
        <v>48</v>
      </c>
      <c r="B12" s="2">
        <v>92.0</v>
      </c>
      <c r="C12" s="2">
        <v>25.0</v>
      </c>
      <c r="D12" s="2">
        <v>37.0</v>
      </c>
      <c r="E12" s="2">
        <f t="shared" ref="E12:E13" si="10">SUM(B12:D12)</f>
        <v>154</v>
      </c>
      <c r="G12" s="2">
        <v>8.0</v>
      </c>
      <c r="H12" s="2">
        <v>3.0</v>
      </c>
      <c r="I12" s="2">
        <v>5.0</v>
      </c>
    </row>
    <row r="13" ht="14.25" customHeight="1">
      <c r="A13" s="1"/>
      <c r="B13" s="3">
        <f t="shared" ref="B13:D13" si="9">(B12/$E$133)*100</f>
        <v>3.237156932</v>
      </c>
      <c r="C13" s="3">
        <f t="shared" si="9"/>
        <v>0.8796622097</v>
      </c>
      <c r="D13" s="3">
        <f t="shared" si="9"/>
        <v>1.30190007</v>
      </c>
      <c r="E13" s="3">
        <f t="shared" si="10"/>
        <v>5.418719212</v>
      </c>
    </row>
    <row r="14" ht="14.25" customHeight="1">
      <c r="A14" s="1"/>
      <c r="B14" s="3">
        <f t="shared" ref="B14:D14" si="11">(B12/$E$12)*100</f>
        <v>59.74025974</v>
      </c>
      <c r="C14" s="3">
        <f t="shared" si="11"/>
        <v>16.23376623</v>
      </c>
      <c r="D14" s="3">
        <f t="shared" si="11"/>
        <v>24.02597403</v>
      </c>
    </row>
    <row r="15" ht="14.25" customHeight="1">
      <c r="A15" s="1"/>
      <c r="B15" s="3">
        <f t="shared" ref="B15:D15" si="12">(B12/B133)*100</f>
        <v>4.698672114</v>
      </c>
      <c r="C15" s="3">
        <f t="shared" si="12"/>
        <v>7.507507508</v>
      </c>
      <c r="D15" s="3">
        <f t="shared" si="12"/>
        <v>6.715063521</v>
      </c>
    </row>
    <row r="16" ht="14.25" customHeight="1">
      <c r="A16" s="1" t="s">
        <v>49</v>
      </c>
      <c r="B16" s="2">
        <v>111.0</v>
      </c>
      <c r="C16" s="2">
        <v>2.0</v>
      </c>
      <c r="D16" s="2">
        <v>4.0</v>
      </c>
      <c r="E16" s="2">
        <f t="shared" ref="E16:E17" si="14">SUM(B16:D16)</f>
        <v>117</v>
      </c>
      <c r="G16" s="2">
        <v>13.0</v>
      </c>
      <c r="H16" s="2">
        <v>1.0</v>
      </c>
      <c r="I16" s="2">
        <v>2.0</v>
      </c>
    </row>
    <row r="17" ht="14.25" customHeight="1">
      <c r="A17" s="1"/>
      <c r="B17" s="3">
        <f t="shared" ref="B17:D17" si="13">(B16/$E$133)*100</f>
        <v>3.905700211</v>
      </c>
      <c r="C17" s="3">
        <f t="shared" si="13"/>
        <v>0.07037297678</v>
      </c>
      <c r="D17" s="3">
        <f t="shared" si="13"/>
        <v>0.1407459536</v>
      </c>
      <c r="E17" s="3">
        <f t="shared" si="14"/>
        <v>4.116819141</v>
      </c>
    </row>
    <row r="18" ht="14.25" customHeight="1">
      <c r="A18" s="1"/>
      <c r="B18" s="3">
        <f t="shared" ref="B18:D18" si="15">(B16/$E$16)*100</f>
        <v>94.87179487</v>
      </c>
      <c r="C18" s="3">
        <f t="shared" si="15"/>
        <v>1.709401709</v>
      </c>
      <c r="D18" s="3">
        <f t="shared" si="15"/>
        <v>3.418803419</v>
      </c>
    </row>
    <row r="19" ht="14.25" customHeight="1">
      <c r="A19" s="1"/>
      <c r="B19" s="3">
        <f t="shared" ref="B19:D19" si="16">(B16/B133)*100</f>
        <v>5.669050051</v>
      </c>
      <c r="C19" s="3">
        <f t="shared" si="16"/>
        <v>0.6006006006</v>
      </c>
      <c r="D19" s="3">
        <f t="shared" si="16"/>
        <v>0.7259528131</v>
      </c>
    </row>
    <row r="20" ht="14.25" customHeight="1">
      <c r="A20" s="6" t="s">
        <v>50</v>
      </c>
      <c r="B20" s="2">
        <v>14.0</v>
      </c>
      <c r="C20" s="2">
        <v>8.0</v>
      </c>
      <c r="D20" s="2">
        <v>7.0</v>
      </c>
      <c r="E20" s="2">
        <f t="shared" ref="E20:E21" si="18">SUM(B20:D20)</f>
        <v>29</v>
      </c>
      <c r="G20" s="2">
        <v>8.0</v>
      </c>
      <c r="H20" s="2">
        <v>4.0</v>
      </c>
      <c r="I20" s="2">
        <v>3.0</v>
      </c>
    </row>
    <row r="21" ht="14.25" customHeight="1">
      <c r="A21" s="1"/>
      <c r="B21" s="7">
        <f t="shared" ref="B21:D21" si="17">(B20/$E$133)*100</f>
        <v>0.4926108374</v>
      </c>
      <c r="C21" s="7">
        <f t="shared" si="17"/>
        <v>0.2814919071</v>
      </c>
      <c r="D21" s="7">
        <f t="shared" si="17"/>
        <v>0.2463054187</v>
      </c>
      <c r="E21" s="7">
        <f t="shared" si="18"/>
        <v>1.020408163</v>
      </c>
      <c r="G21" s="2"/>
      <c r="H21" s="2"/>
      <c r="I21" s="2"/>
    </row>
    <row r="22" ht="14.25" customHeight="1">
      <c r="A22" s="1"/>
      <c r="B22" s="3">
        <f t="shared" ref="B22:D22" si="19">(B20/$E$20)*100</f>
        <v>48.27586207</v>
      </c>
      <c r="C22" s="3">
        <f t="shared" si="19"/>
        <v>27.5862069</v>
      </c>
      <c r="D22" s="3">
        <f t="shared" si="19"/>
        <v>24.13793103</v>
      </c>
      <c r="G22" s="2"/>
      <c r="H22" s="2"/>
      <c r="I22" s="2"/>
    </row>
    <row r="23" ht="14.25" customHeight="1">
      <c r="A23" s="1"/>
      <c r="B23" s="7">
        <f t="shared" ref="B23:D23" si="20">(B20/B133)*100</f>
        <v>0.7150153218</v>
      </c>
      <c r="C23" s="3">
        <f t="shared" si="20"/>
        <v>2.402402402</v>
      </c>
      <c r="D23" s="3">
        <f t="shared" si="20"/>
        <v>1.270417423</v>
      </c>
      <c r="G23" s="2"/>
      <c r="H23" s="2"/>
      <c r="I23" s="2"/>
    </row>
    <row r="24" ht="14.25" customHeight="1">
      <c r="A24" s="1" t="s">
        <v>51</v>
      </c>
      <c r="B24" s="2">
        <v>84.0</v>
      </c>
      <c r="C24" s="2">
        <v>5.0</v>
      </c>
      <c r="D24" s="2">
        <v>6.0</v>
      </c>
      <c r="E24" s="2">
        <f t="shared" ref="E24:E25" si="22">SUM(B24:D24)</f>
        <v>95</v>
      </c>
      <c r="G24" s="2">
        <v>14.0</v>
      </c>
      <c r="H24" s="2">
        <v>1.0</v>
      </c>
      <c r="I24" s="2">
        <v>1.0</v>
      </c>
    </row>
    <row r="25" ht="14.25" customHeight="1">
      <c r="A25" s="1"/>
      <c r="B25" s="3">
        <f t="shared" ref="B25:D25" si="21">(B24/$E$133)*100</f>
        <v>2.955665025</v>
      </c>
      <c r="C25" s="3">
        <f t="shared" si="21"/>
        <v>0.1759324419</v>
      </c>
      <c r="D25" s="3">
        <f t="shared" si="21"/>
        <v>0.2111189303</v>
      </c>
      <c r="E25" s="3">
        <f t="shared" si="22"/>
        <v>3.342716397</v>
      </c>
    </row>
    <row r="26" ht="14.25" customHeight="1">
      <c r="A26" s="1"/>
      <c r="B26" s="3">
        <f t="shared" ref="B26:D26" si="23">(B24/$E$24)*100</f>
        <v>88.42105263</v>
      </c>
      <c r="C26" s="3">
        <f t="shared" si="23"/>
        <v>5.263157895</v>
      </c>
      <c r="D26" s="3">
        <f t="shared" si="23"/>
        <v>6.315789474</v>
      </c>
    </row>
    <row r="27" ht="14.25" customHeight="1">
      <c r="A27" s="1"/>
      <c r="B27" s="3">
        <f t="shared" ref="B27:D27" si="24">(B24/B133)*100</f>
        <v>4.290091931</v>
      </c>
      <c r="C27" s="3">
        <f t="shared" si="24"/>
        <v>1.501501502</v>
      </c>
      <c r="D27" s="3">
        <f t="shared" si="24"/>
        <v>1.08892922</v>
      </c>
    </row>
    <row r="28" ht="14.25" customHeight="1">
      <c r="A28" s="6" t="s">
        <v>52</v>
      </c>
      <c r="B28" s="2">
        <v>21.0</v>
      </c>
      <c r="C28" s="2">
        <v>4.0</v>
      </c>
      <c r="D28" s="2">
        <v>7.0</v>
      </c>
      <c r="E28" s="2">
        <f t="shared" ref="E28:E29" si="26">SUM(B28:D28)</f>
        <v>32</v>
      </c>
      <c r="G28" s="2">
        <v>10.0</v>
      </c>
      <c r="H28" s="2">
        <v>2.0</v>
      </c>
      <c r="I28" s="2">
        <v>4.0</v>
      </c>
    </row>
    <row r="29" ht="14.25" customHeight="1">
      <c r="A29" s="1"/>
      <c r="B29" s="8">
        <f t="shared" ref="B29:D29" si="25">(B28/$E$133)*100</f>
        <v>0.7389162562</v>
      </c>
      <c r="C29" s="9">
        <f t="shared" si="25"/>
        <v>0.1407459536</v>
      </c>
      <c r="D29" s="3">
        <f t="shared" si="25"/>
        <v>0.2463054187</v>
      </c>
      <c r="E29" s="3">
        <f t="shared" si="26"/>
        <v>1.125967628</v>
      </c>
    </row>
    <row r="30" ht="14.25" customHeight="1">
      <c r="A30" s="1"/>
      <c r="B30" s="2">
        <f t="shared" ref="B30:D30" si="27">(B28/$E$28)*100</f>
        <v>65.625</v>
      </c>
      <c r="C30" s="2">
        <f t="shared" si="27"/>
        <v>12.5</v>
      </c>
      <c r="D30" s="2">
        <f t="shared" si="27"/>
        <v>21.875</v>
      </c>
    </row>
    <row r="31" ht="14.25" customHeight="1">
      <c r="A31" s="1"/>
      <c r="B31" s="3">
        <f t="shared" ref="B31:D31" si="28">(B28/B133)*100</f>
        <v>1.072522983</v>
      </c>
      <c r="C31" s="3">
        <f t="shared" si="28"/>
        <v>1.201201201</v>
      </c>
      <c r="D31" s="3">
        <f t="shared" si="28"/>
        <v>1.270417423</v>
      </c>
    </row>
    <row r="32" ht="14.25" customHeight="1">
      <c r="A32" s="1" t="s">
        <v>53</v>
      </c>
      <c r="B32" s="2">
        <v>18.0</v>
      </c>
      <c r="C32" s="2">
        <v>0.0</v>
      </c>
      <c r="D32" s="2">
        <v>0.0</v>
      </c>
      <c r="E32" s="2">
        <f t="shared" ref="E32:E33" si="30">SUM(B32:D32)</f>
        <v>18</v>
      </c>
    </row>
    <row r="33" ht="14.25" customHeight="1">
      <c r="A33" s="1" t="s">
        <v>54</v>
      </c>
      <c r="B33" s="3">
        <f t="shared" ref="B33:D33" si="29">(B32/$E$133)*100</f>
        <v>0.633356791</v>
      </c>
      <c r="C33" s="3">
        <f t="shared" si="29"/>
        <v>0</v>
      </c>
      <c r="D33" s="3">
        <f t="shared" si="29"/>
        <v>0</v>
      </c>
      <c r="E33" s="3">
        <f t="shared" si="30"/>
        <v>0.633356791</v>
      </c>
    </row>
    <row r="34" ht="14.25" customHeight="1">
      <c r="A34" s="1"/>
      <c r="B34" s="2">
        <v>100.0</v>
      </c>
      <c r="C34" s="2">
        <v>0.0</v>
      </c>
      <c r="D34" s="2">
        <v>0.0</v>
      </c>
    </row>
    <row r="35" ht="14.25" customHeight="1">
      <c r="A35" s="1"/>
      <c r="B35" s="2">
        <f>(B32/18)*100</f>
        <v>100</v>
      </c>
      <c r="C35" s="2">
        <v>0.0</v>
      </c>
      <c r="D35" s="2">
        <v>0.0</v>
      </c>
    </row>
    <row r="36" ht="14.25" customHeight="1">
      <c r="A36" s="1" t="s">
        <v>55</v>
      </c>
      <c r="B36" s="2">
        <v>82.0</v>
      </c>
      <c r="C36" s="2">
        <v>10.0</v>
      </c>
      <c r="D36" s="2">
        <v>15.0</v>
      </c>
      <c r="E36" s="2">
        <f t="shared" ref="E36:E37" si="32">SUM(B36:D36)</f>
        <v>107</v>
      </c>
      <c r="G36" s="2">
        <v>12.0</v>
      </c>
      <c r="H36" s="2">
        <v>0.0</v>
      </c>
      <c r="I36" s="2">
        <v>4.0</v>
      </c>
    </row>
    <row r="37" ht="14.25" customHeight="1">
      <c r="A37" s="1"/>
      <c r="B37" s="3">
        <f t="shared" ref="B37:D37" si="31">(B36/$E$133)*100</f>
        <v>2.885292048</v>
      </c>
      <c r="C37" s="3">
        <f t="shared" si="31"/>
        <v>0.3518648839</v>
      </c>
      <c r="D37" s="3">
        <f t="shared" si="31"/>
        <v>0.5277973258</v>
      </c>
      <c r="E37" s="3">
        <f t="shared" si="32"/>
        <v>3.764954258</v>
      </c>
    </row>
    <row r="38" ht="14.25" customHeight="1">
      <c r="A38" s="1"/>
      <c r="B38" s="3">
        <f t="shared" ref="B38:D38" si="33">(B36/$E$36)*100</f>
        <v>76.63551402</v>
      </c>
      <c r="C38" s="3">
        <f t="shared" si="33"/>
        <v>9.345794393</v>
      </c>
      <c r="D38" s="3">
        <f t="shared" si="33"/>
        <v>14.01869159</v>
      </c>
    </row>
    <row r="39" ht="14.25" customHeight="1">
      <c r="A39" s="1"/>
      <c r="B39" s="3">
        <f t="shared" ref="B39:D39" si="34">(B36/B133)*100</f>
        <v>4.187946885</v>
      </c>
      <c r="C39" s="3">
        <f t="shared" si="34"/>
        <v>3.003003003</v>
      </c>
      <c r="D39" s="3">
        <f t="shared" si="34"/>
        <v>2.722323049</v>
      </c>
    </row>
    <row r="40" ht="14.25" customHeight="1">
      <c r="A40" s="1" t="s">
        <v>56</v>
      </c>
      <c r="B40" s="2">
        <v>96.0</v>
      </c>
      <c r="C40" s="2">
        <v>9.0</v>
      </c>
      <c r="D40" s="2">
        <v>28.0</v>
      </c>
      <c r="E40" s="2">
        <f t="shared" ref="E40:E41" si="36">SUM(B40:D40)</f>
        <v>133</v>
      </c>
      <c r="G40" s="2">
        <v>10.0</v>
      </c>
      <c r="H40" s="2">
        <v>1.0</v>
      </c>
      <c r="I40" s="2">
        <v>5.0</v>
      </c>
    </row>
    <row r="41" ht="14.25" customHeight="1">
      <c r="A41" s="1"/>
      <c r="B41" s="3">
        <f t="shared" ref="B41:D41" si="35">(B40/$E$133)*100</f>
        <v>3.377902885</v>
      </c>
      <c r="C41" s="3">
        <f t="shared" si="35"/>
        <v>0.3166783955</v>
      </c>
      <c r="D41" s="3">
        <f t="shared" si="35"/>
        <v>0.9852216749</v>
      </c>
      <c r="E41" s="3">
        <f t="shared" si="36"/>
        <v>4.679802956</v>
      </c>
    </row>
    <row r="42" ht="14.25" customHeight="1">
      <c r="A42" s="1"/>
      <c r="B42" s="3">
        <f t="shared" ref="B42:D42" si="37">(B40/$E$40)*100</f>
        <v>72.18045113</v>
      </c>
      <c r="C42" s="3">
        <f t="shared" si="37"/>
        <v>6.766917293</v>
      </c>
      <c r="D42" s="3">
        <f t="shared" si="37"/>
        <v>21.05263158</v>
      </c>
    </row>
    <row r="43" ht="14.25" customHeight="1">
      <c r="A43" s="1"/>
      <c r="B43" s="3">
        <f t="shared" ref="B43:D43" si="38">(B40/B133)*100</f>
        <v>4.902962206</v>
      </c>
      <c r="C43" s="3">
        <f t="shared" si="38"/>
        <v>2.702702703</v>
      </c>
      <c r="D43" s="3">
        <f t="shared" si="38"/>
        <v>5.081669691</v>
      </c>
    </row>
    <row r="44" ht="14.25" customHeight="1">
      <c r="A44" s="1" t="s">
        <v>57</v>
      </c>
      <c r="B44" s="2">
        <v>2.0</v>
      </c>
      <c r="C44" s="2">
        <v>29.0</v>
      </c>
      <c r="D44" s="2">
        <v>86.0</v>
      </c>
      <c r="E44" s="2">
        <f t="shared" ref="E44:E45" si="40">SUM(B44:D44)</f>
        <v>117</v>
      </c>
      <c r="G44" s="2">
        <v>0.0</v>
      </c>
      <c r="H44" s="2">
        <v>1.0</v>
      </c>
      <c r="I44" s="2">
        <v>15.0</v>
      </c>
    </row>
    <row r="45" ht="14.25" customHeight="1">
      <c r="A45" s="1"/>
      <c r="B45" s="3">
        <f t="shared" ref="B45:D45" si="39">(B44/$E$133)*100</f>
        <v>0.07037297678</v>
      </c>
      <c r="C45" s="3">
        <f t="shared" si="39"/>
        <v>1.020408163</v>
      </c>
      <c r="D45" s="3">
        <f t="shared" si="39"/>
        <v>3.026038001</v>
      </c>
      <c r="E45" s="3">
        <f t="shared" si="40"/>
        <v>4.116819141</v>
      </c>
    </row>
    <row r="46" ht="14.25" customHeight="1">
      <c r="A46" s="1"/>
      <c r="B46" s="3">
        <f t="shared" ref="B46:D46" si="41">(B44/$E$44)*100</f>
        <v>1.709401709</v>
      </c>
      <c r="C46" s="3">
        <f t="shared" si="41"/>
        <v>24.78632479</v>
      </c>
      <c r="D46" s="3">
        <f t="shared" si="41"/>
        <v>73.5042735</v>
      </c>
    </row>
    <row r="47" ht="14.25" customHeight="1">
      <c r="A47" s="1"/>
      <c r="B47" s="3">
        <f t="shared" ref="B47:D47" si="42">(B44/B133)*100</f>
        <v>0.102145046</v>
      </c>
      <c r="C47" s="3">
        <f t="shared" si="42"/>
        <v>8.708708709</v>
      </c>
      <c r="D47" s="3">
        <f t="shared" si="42"/>
        <v>15.60798548</v>
      </c>
    </row>
    <row r="48" ht="14.25" customHeight="1">
      <c r="A48" s="1" t="s">
        <v>58</v>
      </c>
      <c r="B48" s="2">
        <v>136.0</v>
      </c>
      <c r="C48" s="2">
        <v>11.0</v>
      </c>
      <c r="D48" s="2">
        <v>8.0</v>
      </c>
      <c r="E48" s="2">
        <f t="shared" ref="E48:E49" si="44">SUM(B48:D48)</f>
        <v>155</v>
      </c>
      <c r="G48" s="2">
        <v>13.0</v>
      </c>
      <c r="H48" s="2">
        <v>1.0</v>
      </c>
      <c r="I48" s="2">
        <v>2.0</v>
      </c>
    </row>
    <row r="49" ht="14.25" customHeight="1">
      <c r="A49" s="1"/>
      <c r="B49" s="3">
        <f t="shared" ref="B49:D49" si="43">(B48/$E$133)*100</f>
        <v>4.785362421</v>
      </c>
      <c r="C49" s="3">
        <f t="shared" si="43"/>
        <v>0.3870513723</v>
      </c>
      <c r="D49" s="3">
        <f t="shared" si="43"/>
        <v>0.2814919071</v>
      </c>
      <c r="E49" s="3">
        <f t="shared" si="44"/>
        <v>5.4539057</v>
      </c>
    </row>
    <row r="50" ht="14.25" customHeight="1">
      <c r="A50" s="1"/>
      <c r="B50" s="3">
        <f t="shared" ref="B50:D50" si="45">(B48/$E$48)*100</f>
        <v>87.74193548</v>
      </c>
      <c r="C50" s="3">
        <f t="shared" si="45"/>
        <v>7.096774194</v>
      </c>
      <c r="D50" s="3">
        <f t="shared" si="45"/>
        <v>5.161290323</v>
      </c>
    </row>
    <row r="51" ht="14.25" customHeight="1">
      <c r="A51" s="1"/>
      <c r="B51" s="3">
        <f t="shared" ref="B51:D51" si="46">(B48/B133)*100</f>
        <v>6.945863126</v>
      </c>
      <c r="C51" s="3">
        <f t="shared" si="46"/>
        <v>3.303303303</v>
      </c>
      <c r="D51" s="3">
        <f t="shared" si="46"/>
        <v>1.451905626</v>
      </c>
    </row>
    <row r="52" ht="14.25" customHeight="1">
      <c r="A52" s="6" t="s">
        <v>59</v>
      </c>
      <c r="B52" s="2">
        <v>13.0</v>
      </c>
      <c r="C52" s="2">
        <v>9.0</v>
      </c>
      <c r="D52" s="2">
        <v>7.0</v>
      </c>
      <c r="E52" s="2">
        <f t="shared" ref="E52:E53" si="48">SUM(B52:D52)</f>
        <v>29</v>
      </c>
      <c r="G52" s="2">
        <v>4.0</v>
      </c>
      <c r="H52" s="2">
        <v>6.0</v>
      </c>
      <c r="I52" s="2">
        <v>5.0</v>
      </c>
    </row>
    <row r="53" ht="14.25" customHeight="1">
      <c r="A53" s="1"/>
      <c r="B53" s="7">
        <f t="shared" ref="B53:D53" si="47">(B52/$E$133)*100</f>
        <v>0.457424349</v>
      </c>
      <c r="C53" s="7">
        <f t="shared" si="47"/>
        <v>0.3166783955</v>
      </c>
      <c r="D53" s="7">
        <f t="shared" si="47"/>
        <v>0.2463054187</v>
      </c>
      <c r="E53" s="7">
        <f t="shared" si="48"/>
        <v>1.020408163</v>
      </c>
      <c r="G53" s="2"/>
      <c r="H53" s="2"/>
      <c r="I53" s="2"/>
    </row>
    <row r="54" ht="14.25" customHeight="1">
      <c r="A54" s="1"/>
      <c r="B54" s="3">
        <f t="shared" ref="B54:D54" si="49">(B52/$E$52)*100</f>
        <v>44.82758621</v>
      </c>
      <c r="C54" s="3">
        <f t="shared" si="49"/>
        <v>31.03448276</v>
      </c>
      <c r="D54" s="3">
        <f t="shared" si="49"/>
        <v>24.13793103</v>
      </c>
      <c r="G54" s="2"/>
      <c r="H54" s="2"/>
      <c r="I54" s="2"/>
    </row>
    <row r="55" ht="14.25" customHeight="1">
      <c r="A55" s="1"/>
      <c r="B55" s="3">
        <f t="shared" ref="B55:D55" si="50">(B52/B133)*100</f>
        <v>0.6639427988</v>
      </c>
      <c r="C55" s="3">
        <f t="shared" si="50"/>
        <v>2.702702703</v>
      </c>
      <c r="D55" s="3">
        <f t="shared" si="50"/>
        <v>1.270417423</v>
      </c>
      <c r="G55" s="2"/>
      <c r="H55" s="2"/>
      <c r="I55" s="2"/>
    </row>
    <row r="56" ht="14.25" customHeight="1">
      <c r="A56" s="1" t="s">
        <v>60</v>
      </c>
      <c r="G56" s="2"/>
      <c r="H56" s="2"/>
      <c r="I56" s="2"/>
    </row>
    <row r="57" ht="14.25" customHeight="1">
      <c r="B57" s="2">
        <v>108.0</v>
      </c>
      <c r="C57" s="2">
        <v>9.0</v>
      </c>
      <c r="D57" s="2">
        <v>18.0</v>
      </c>
      <c r="E57" s="2">
        <f t="shared" ref="E57:E58" si="52">SUM(B57:D57)</f>
        <v>135</v>
      </c>
      <c r="G57" s="2">
        <v>11.0</v>
      </c>
      <c r="H57" s="2">
        <v>0.0</v>
      </c>
      <c r="I57" s="2">
        <v>5.0</v>
      </c>
    </row>
    <row r="58" ht="14.25" customHeight="1">
      <c r="A58" s="1"/>
      <c r="B58" s="3">
        <f t="shared" ref="B58:D58" si="51">(B57/$E$133)*100</f>
        <v>3.800140746</v>
      </c>
      <c r="C58" s="3">
        <f t="shared" si="51"/>
        <v>0.3166783955</v>
      </c>
      <c r="D58" s="3">
        <f t="shared" si="51"/>
        <v>0.633356791</v>
      </c>
      <c r="E58" s="3">
        <f t="shared" si="52"/>
        <v>4.750175932</v>
      </c>
    </row>
    <row r="59" ht="14.25" customHeight="1">
      <c r="A59" s="1"/>
      <c r="B59" s="3">
        <f t="shared" ref="B59:D59" si="53">(B57/$E$57)*100</f>
        <v>80</v>
      </c>
      <c r="C59" s="3">
        <f t="shared" si="53"/>
        <v>6.666666667</v>
      </c>
      <c r="D59" s="3">
        <f t="shared" si="53"/>
        <v>13.33333333</v>
      </c>
    </row>
    <row r="60" ht="14.25" customHeight="1">
      <c r="A60" s="1"/>
      <c r="B60" s="3">
        <f t="shared" ref="B60:D60" si="54">(B57/B133)*100</f>
        <v>5.515832482</v>
      </c>
      <c r="C60" s="3">
        <f t="shared" si="54"/>
        <v>2.702702703</v>
      </c>
      <c r="D60" s="3">
        <f t="shared" si="54"/>
        <v>3.266787659</v>
      </c>
    </row>
    <row r="61" ht="14.25" customHeight="1">
      <c r="A61" s="1" t="s">
        <v>61</v>
      </c>
      <c r="B61" s="2">
        <v>84.0</v>
      </c>
      <c r="C61" s="2">
        <v>20.0</v>
      </c>
      <c r="D61" s="2">
        <v>31.0</v>
      </c>
      <c r="E61" s="2">
        <f t="shared" ref="E61:E62" si="56">SUM(B61:D61)</f>
        <v>135</v>
      </c>
      <c r="G61" s="2">
        <v>10.0</v>
      </c>
      <c r="H61" s="2">
        <v>2.0</v>
      </c>
      <c r="I61" s="2">
        <v>4.0</v>
      </c>
    </row>
    <row r="62" ht="14.25" customHeight="1">
      <c r="A62" s="1"/>
      <c r="B62" s="3">
        <f t="shared" ref="B62:D62" si="55">(B61/$E$133)*100</f>
        <v>2.955665025</v>
      </c>
      <c r="C62" s="3">
        <f t="shared" si="55"/>
        <v>0.7037297678</v>
      </c>
      <c r="D62" s="3">
        <f t="shared" si="55"/>
        <v>1.09078114</v>
      </c>
      <c r="E62" s="3">
        <f t="shared" si="56"/>
        <v>4.750175932</v>
      </c>
    </row>
    <row r="63" ht="14.25" customHeight="1">
      <c r="A63" s="1"/>
      <c r="B63" s="3">
        <f t="shared" ref="B63:D63" si="57">(B61/$E$61)*100</f>
        <v>62.22222222</v>
      </c>
      <c r="C63" s="3">
        <f t="shared" si="57"/>
        <v>14.81481481</v>
      </c>
      <c r="D63" s="3">
        <f t="shared" si="57"/>
        <v>22.96296296</v>
      </c>
    </row>
    <row r="64" ht="14.25" customHeight="1">
      <c r="A64" s="1"/>
      <c r="B64" s="3">
        <f t="shared" ref="B64:D64" si="58">(B61/B133)*100</f>
        <v>4.290091931</v>
      </c>
      <c r="C64" s="3">
        <f t="shared" si="58"/>
        <v>6.006006006</v>
      </c>
      <c r="D64" s="3">
        <f t="shared" si="58"/>
        <v>5.626134301</v>
      </c>
    </row>
    <row r="65" ht="14.25" customHeight="1">
      <c r="A65" s="1" t="s">
        <v>62</v>
      </c>
      <c r="B65" s="2">
        <v>92.0</v>
      </c>
      <c r="C65" s="2">
        <v>2.0</v>
      </c>
      <c r="D65" s="2">
        <v>5.0</v>
      </c>
      <c r="E65" s="2">
        <f t="shared" ref="E65:E66" si="60">SUM(B65:D65)</f>
        <v>99</v>
      </c>
      <c r="G65" s="2">
        <v>13.0</v>
      </c>
      <c r="H65" s="2">
        <v>0.0</v>
      </c>
      <c r="I65" s="2">
        <v>3.0</v>
      </c>
    </row>
    <row r="66" ht="14.25" customHeight="1">
      <c r="A66" s="1"/>
      <c r="B66" s="3">
        <f t="shared" ref="B66:D66" si="59">(B65/$E$133)*100</f>
        <v>3.237156932</v>
      </c>
      <c r="C66" s="3">
        <f t="shared" si="59"/>
        <v>0.07037297678</v>
      </c>
      <c r="D66" s="3">
        <f t="shared" si="59"/>
        <v>0.1759324419</v>
      </c>
      <c r="E66" s="3">
        <f t="shared" si="60"/>
        <v>3.48346235</v>
      </c>
    </row>
    <row r="67" ht="14.25" customHeight="1">
      <c r="A67" s="1"/>
      <c r="B67" s="3">
        <f t="shared" ref="B67:D67" si="61">(B65/$E$65)*100</f>
        <v>92.92929293</v>
      </c>
      <c r="C67" s="3">
        <f t="shared" si="61"/>
        <v>2.02020202</v>
      </c>
      <c r="D67" s="3">
        <f t="shared" si="61"/>
        <v>5.050505051</v>
      </c>
    </row>
    <row r="68" ht="14.25" customHeight="1">
      <c r="A68" s="1"/>
      <c r="B68" s="3">
        <f t="shared" ref="B68:D68" si="62">(B65/B133)*100</f>
        <v>4.698672114</v>
      </c>
      <c r="C68" s="3">
        <f t="shared" si="62"/>
        <v>0.6006006006</v>
      </c>
      <c r="D68" s="3">
        <f t="shared" si="62"/>
        <v>0.9074410163</v>
      </c>
    </row>
    <row r="69" ht="14.25" customHeight="1">
      <c r="A69" s="6" t="s">
        <v>63</v>
      </c>
      <c r="B69" s="2">
        <v>1.0</v>
      </c>
      <c r="C69" s="2">
        <v>9.0</v>
      </c>
      <c r="D69" s="2">
        <v>22.0</v>
      </c>
      <c r="E69" s="2">
        <f t="shared" ref="E69:E70" si="64">SUM(B69:D69)</f>
        <v>32</v>
      </c>
      <c r="G69" s="2">
        <v>0.0</v>
      </c>
      <c r="H69" s="2">
        <v>3.0</v>
      </c>
      <c r="I69" s="2">
        <v>13.0</v>
      </c>
    </row>
    <row r="70" ht="14.25" customHeight="1">
      <c r="A70" s="1"/>
      <c r="B70" s="10">
        <f t="shared" ref="B70:D70" si="63">(B69/$E$133)*100</f>
        <v>0.03518648839</v>
      </c>
      <c r="C70" s="11">
        <f t="shared" si="63"/>
        <v>0.3166783955</v>
      </c>
      <c r="D70" s="7">
        <f t="shared" si="63"/>
        <v>0.7741027445</v>
      </c>
      <c r="E70" s="10">
        <f t="shared" si="64"/>
        <v>1.125967628</v>
      </c>
    </row>
    <row r="71" ht="14.25" customHeight="1">
      <c r="A71" s="1"/>
      <c r="B71" s="3">
        <f t="shared" ref="B71:D71" si="65">(B69/$E$69)*100</f>
        <v>3.125</v>
      </c>
      <c r="C71" s="12">
        <f t="shared" si="65"/>
        <v>28.125</v>
      </c>
      <c r="D71" s="3">
        <f t="shared" si="65"/>
        <v>68.75</v>
      </c>
    </row>
    <row r="72" ht="14.25" customHeight="1">
      <c r="A72" s="1"/>
      <c r="B72" s="13">
        <f t="shared" ref="B72:D72" si="66">(B69/B133)*100</f>
        <v>0.05107252298</v>
      </c>
      <c r="C72" s="3">
        <f t="shared" si="66"/>
        <v>2.702702703</v>
      </c>
      <c r="D72" s="2">
        <f t="shared" si="66"/>
        <v>3.992740472</v>
      </c>
    </row>
    <row r="73" ht="14.25" customHeight="1">
      <c r="A73" s="6" t="s">
        <v>64</v>
      </c>
      <c r="B73" s="2">
        <v>6.0</v>
      </c>
      <c r="C73" s="2">
        <v>11.0</v>
      </c>
      <c r="D73" s="2">
        <v>12.0</v>
      </c>
      <c r="E73" s="2">
        <f t="shared" ref="E73:E74" si="68">SUM(B73:D73)</f>
        <v>29</v>
      </c>
      <c r="G73" s="2">
        <v>2.0</v>
      </c>
      <c r="H73" s="2">
        <v>6.0</v>
      </c>
      <c r="I73" s="2">
        <v>8.0</v>
      </c>
    </row>
    <row r="74" ht="14.25" customHeight="1">
      <c r="A74" s="1"/>
      <c r="B74" s="14">
        <f t="shared" ref="B74:D74" si="67">(B73/$E$133)*100</f>
        <v>0.2111189303</v>
      </c>
      <c r="C74" s="8">
        <f t="shared" si="67"/>
        <v>0.3870513723</v>
      </c>
      <c r="D74" s="14">
        <f t="shared" si="67"/>
        <v>0.4222378607</v>
      </c>
      <c r="E74" s="7">
        <f t="shared" si="68"/>
        <v>1.020408163</v>
      </c>
    </row>
    <row r="75" ht="14.25" customHeight="1">
      <c r="A75" s="1"/>
      <c r="B75" s="3">
        <f t="shared" ref="B75:D75" si="69">(B73/$E$73)*100</f>
        <v>20.68965517</v>
      </c>
      <c r="C75" s="3">
        <f t="shared" si="69"/>
        <v>37.93103448</v>
      </c>
      <c r="D75" s="3">
        <f t="shared" si="69"/>
        <v>41.37931034</v>
      </c>
    </row>
    <row r="76" ht="14.25" customHeight="1">
      <c r="A76" s="1"/>
      <c r="B76" s="7">
        <f t="shared" ref="B76:D76" si="70">(B73/B133)*100</f>
        <v>0.3064351379</v>
      </c>
      <c r="C76" s="3">
        <f t="shared" si="70"/>
        <v>3.303303303</v>
      </c>
      <c r="D76" s="3">
        <f t="shared" si="70"/>
        <v>2.177858439</v>
      </c>
    </row>
    <row r="77" ht="14.25" customHeight="1">
      <c r="A77" s="1" t="s">
        <v>65</v>
      </c>
      <c r="B77" s="2">
        <v>119.0</v>
      </c>
      <c r="C77" s="2">
        <v>7.0</v>
      </c>
      <c r="D77" s="2">
        <v>9.0</v>
      </c>
      <c r="E77" s="2">
        <f t="shared" ref="E77:E78" si="72">SUM(B77:D77)</f>
        <v>135</v>
      </c>
      <c r="G77" s="2">
        <v>13.0</v>
      </c>
      <c r="H77" s="2">
        <v>1.0</v>
      </c>
      <c r="I77" s="2">
        <v>2.0</v>
      </c>
    </row>
    <row r="78" ht="14.25" customHeight="1">
      <c r="A78" s="1"/>
      <c r="B78" s="3">
        <f t="shared" ref="B78:D78" si="71">(B77/$E$133)*100</f>
        <v>4.187192118</v>
      </c>
      <c r="C78" s="3">
        <f t="shared" si="71"/>
        <v>0.2463054187</v>
      </c>
      <c r="D78" s="3">
        <f t="shared" si="71"/>
        <v>0.3166783955</v>
      </c>
      <c r="E78" s="3">
        <f t="shared" si="72"/>
        <v>4.750175932</v>
      </c>
    </row>
    <row r="79" ht="14.25" customHeight="1">
      <c r="A79" s="1"/>
      <c r="B79" s="3">
        <f t="shared" ref="B79:D79" si="73">(B77/$E$77)*100</f>
        <v>88.14814815</v>
      </c>
      <c r="C79" s="3">
        <f t="shared" si="73"/>
        <v>5.185185185</v>
      </c>
      <c r="D79" s="3">
        <f t="shared" si="73"/>
        <v>6.666666667</v>
      </c>
    </row>
    <row r="80" ht="14.25" customHeight="1">
      <c r="A80" s="1"/>
      <c r="B80" s="3">
        <f t="shared" ref="B80:D80" si="74">(B77/B133)*100</f>
        <v>6.077630235</v>
      </c>
      <c r="C80" s="3">
        <f t="shared" si="74"/>
        <v>2.102102102</v>
      </c>
      <c r="D80" s="3">
        <f t="shared" si="74"/>
        <v>1.633393829</v>
      </c>
    </row>
    <row r="81" ht="14.25" customHeight="1">
      <c r="A81" s="1" t="s">
        <v>66</v>
      </c>
      <c r="B81" s="2">
        <v>5.0</v>
      </c>
      <c r="C81" s="2">
        <v>22.0</v>
      </c>
      <c r="D81" s="2">
        <v>37.0</v>
      </c>
      <c r="E81" s="2">
        <f t="shared" ref="E81:E82" si="76">SUM(B81:D81)</f>
        <v>64</v>
      </c>
      <c r="G81" s="2">
        <v>0.0</v>
      </c>
      <c r="H81" s="2">
        <v>1.0</v>
      </c>
      <c r="I81" s="2">
        <v>15.0</v>
      </c>
    </row>
    <row r="82" ht="14.25" customHeight="1">
      <c r="A82" s="1"/>
      <c r="B82" s="3">
        <f t="shared" ref="B82:D82" si="75">(B81/$E$133)*100</f>
        <v>0.1759324419</v>
      </c>
      <c r="C82" s="3">
        <f t="shared" si="75"/>
        <v>0.7741027445</v>
      </c>
      <c r="D82" s="3">
        <f t="shared" si="75"/>
        <v>1.30190007</v>
      </c>
      <c r="E82" s="3">
        <f t="shared" si="76"/>
        <v>2.251935257</v>
      </c>
    </row>
    <row r="83" ht="14.25" customHeight="1">
      <c r="A83" s="1"/>
      <c r="B83" s="3">
        <f t="shared" ref="B83:D83" si="77">(B81/$E$81)*100</f>
        <v>7.8125</v>
      </c>
      <c r="C83" s="3">
        <f t="shared" si="77"/>
        <v>34.375</v>
      </c>
      <c r="D83" s="3">
        <f t="shared" si="77"/>
        <v>57.8125</v>
      </c>
    </row>
    <row r="84" ht="14.25" customHeight="1">
      <c r="A84" s="1"/>
      <c r="B84" s="3">
        <f t="shared" ref="B84:D84" si="78">(B81/B133)*100</f>
        <v>0.2553626149</v>
      </c>
      <c r="C84" s="3">
        <f t="shared" si="78"/>
        <v>6.606606607</v>
      </c>
      <c r="D84" s="3">
        <f t="shared" si="78"/>
        <v>6.715063521</v>
      </c>
    </row>
    <row r="85" ht="14.25" customHeight="1">
      <c r="A85" s="6" t="s">
        <v>67</v>
      </c>
      <c r="B85" s="2">
        <v>11.0</v>
      </c>
      <c r="C85" s="2">
        <v>5.0</v>
      </c>
      <c r="D85" s="2">
        <v>14.0</v>
      </c>
      <c r="E85" s="2">
        <f t="shared" ref="E85:E86" si="80">SUM(B85:D85)</f>
        <v>30</v>
      </c>
      <c r="G85" s="2">
        <v>11.0</v>
      </c>
      <c r="H85" s="2">
        <v>1.0</v>
      </c>
      <c r="I85" s="2">
        <v>4.0</v>
      </c>
    </row>
    <row r="86" ht="14.25" customHeight="1">
      <c r="A86" s="1"/>
      <c r="B86" s="3">
        <f t="shared" ref="B86:D86" si="79">(B85/$E$133)*100</f>
        <v>0.3870513723</v>
      </c>
      <c r="C86" s="3">
        <f t="shared" si="79"/>
        <v>0.1759324419</v>
      </c>
      <c r="D86" s="3">
        <f t="shared" si="79"/>
        <v>0.4926108374</v>
      </c>
      <c r="E86" s="3">
        <f t="shared" si="80"/>
        <v>1.055594652</v>
      </c>
      <c r="G86" s="2"/>
      <c r="H86" s="2"/>
      <c r="I86" s="2"/>
    </row>
    <row r="87" ht="14.25" customHeight="1">
      <c r="A87" s="1"/>
      <c r="B87" s="3">
        <f t="shared" ref="B87:D87" si="81">(B85/$E$85)*100</f>
        <v>36.66666667</v>
      </c>
      <c r="C87" s="3">
        <f t="shared" si="81"/>
        <v>16.66666667</v>
      </c>
      <c r="D87" s="3">
        <f t="shared" si="81"/>
        <v>46.66666667</v>
      </c>
      <c r="G87" s="2"/>
      <c r="H87" s="2"/>
      <c r="I87" s="2"/>
    </row>
    <row r="88" ht="14.25" customHeight="1">
      <c r="A88" s="1"/>
      <c r="B88" s="3">
        <f t="shared" ref="B88:D88" si="82">(B85/B133)*100</f>
        <v>0.5617977528</v>
      </c>
      <c r="C88" s="3">
        <f t="shared" si="82"/>
        <v>1.501501502</v>
      </c>
      <c r="D88" s="3">
        <f t="shared" si="82"/>
        <v>2.540834846</v>
      </c>
      <c r="G88" s="2"/>
      <c r="H88" s="2"/>
      <c r="I88" s="2"/>
    </row>
    <row r="89" ht="14.25" customHeight="1">
      <c r="A89" s="1" t="s">
        <v>68</v>
      </c>
      <c r="B89" s="2">
        <v>1.0</v>
      </c>
      <c r="C89" s="2">
        <v>7.0</v>
      </c>
      <c r="D89" s="2">
        <v>56.0</v>
      </c>
      <c r="E89" s="2">
        <f t="shared" ref="E89:E90" si="84">SUM(B89:D89)</f>
        <v>64</v>
      </c>
      <c r="G89" s="2">
        <v>0.0</v>
      </c>
      <c r="H89" s="2">
        <v>0.0</v>
      </c>
      <c r="I89" s="2">
        <v>16.0</v>
      </c>
    </row>
    <row r="90" ht="14.25" customHeight="1">
      <c r="A90" s="1"/>
      <c r="B90" s="3">
        <f t="shared" ref="B90:D90" si="83">(B89/$E$133)*100</f>
        <v>0.03518648839</v>
      </c>
      <c r="C90" s="3">
        <f t="shared" si="83"/>
        <v>0.2463054187</v>
      </c>
      <c r="D90" s="3">
        <f t="shared" si="83"/>
        <v>1.97044335</v>
      </c>
      <c r="E90" s="3">
        <f t="shared" si="84"/>
        <v>2.251935257</v>
      </c>
    </row>
    <row r="91" ht="14.25" customHeight="1">
      <c r="A91" s="1"/>
      <c r="B91" s="3">
        <f t="shared" ref="B91:D91" si="85">(B89/$E$89)*100</f>
        <v>1.5625</v>
      </c>
      <c r="C91" s="3">
        <f t="shared" si="85"/>
        <v>10.9375</v>
      </c>
      <c r="D91" s="3">
        <f t="shared" si="85"/>
        <v>87.5</v>
      </c>
    </row>
    <row r="92" ht="14.25" customHeight="1">
      <c r="A92" s="1"/>
      <c r="B92" s="3">
        <f t="shared" ref="B92:D92" si="86">(B89/B133)*100</f>
        <v>0.05107252298</v>
      </c>
      <c r="C92" s="3">
        <f t="shared" si="86"/>
        <v>2.102102102</v>
      </c>
      <c r="D92" s="3">
        <f t="shared" si="86"/>
        <v>10.16333938</v>
      </c>
    </row>
    <row r="93" ht="14.25" customHeight="1">
      <c r="A93" s="1" t="s">
        <v>69</v>
      </c>
      <c r="B93" s="2">
        <v>108.0</v>
      </c>
      <c r="C93" s="2">
        <v>16.0</v>
      </c>
      <c r="D93" s="2">
        <v>9.0</v>
      </c>
      <c r="E93" s="2">
        <f t="shared" ref="E93:E94" si="88">SUM(B93:D93)</f>
        <v>133</v>
      </c>
      <c r="G93" s="2">
        <v>12.0</v>
      </c>
      <c r="H93" s="2">
        <v>1.0</v>
      </c>
      <c r="I93" s="2">
        <v>3.0</v>
      </c>
    </row>
    <row r="94" ht="14.25" customHeight="1">
      <c r="A94" s="1"/>
      <c r="B94" s="3">
        <f t="shared" ref="B94:D94" si="87">(B93/$E$133)*100</f>
        <v>3.800140746</v>
      </c>
      <c r="C94" s="3">
        <f t="shared" si="87"/>
        <v>0.5629838142</v>
      </c>
      <c r="D94" s="3">
        <f t="shared" si="87"/>
        <v>0.3166783955</v>
      </c>
      <c r="E94" s="3">
        <f t="shared" si="88"/>
        <v>4.679802956</v>
      </c>
    </row>
    <row r="95" ht="14.25" customHeight="1">
      <c r="A95" s="1"/>
      <c r="B95" s="3">
        <f t="shared" ref="B95:D95" si="89">(B93/$E$93)*100</f>
        <v>81.20300752</v>
      </c>
      <c r="C95" s="3">
        <f t="shared" si="89"/>
        <v>12.03007519</v>
      </c>
      <c r="D95" s="3">
        <f t="shared" si="89"/>
        <v>6.766917293</v>
      </c>
    </row>
    <row r="96" ht="14.25" customHeight="1">
      <c r="A96" s="1"/>
      <c r="B96" s="3">
        <f t="shared" ref="B96:D96" si="90">(B93/B133)*100</f>
        <v>5.515832482</v>
      </c>
      <c r="C96" s="3">
        <f t="shared" si="90"/>
        <v>4.804804805</v>
      </c>
      <c r="D96" s="3">
        <f t="shared" si="90"/>
        <v>1.633393829</v>
      </c>
    </row>
    <row r="97" ht="14.25" customHeight="1">
      <c r="A97" s="1" t="s">
        <v>70</v>
      </c>
      <c r="B97" s="2">
        <v>22.0</v>
      </c>
      <c r="C97" s="2">
        <v>14.0</v>
      </c>
      <c r="D97" s="2">
        <v>12.0</v>
      </c>
      <c r="E97" s="2">
        <f t="shared" ref="E97:E98" si="92">SUM(B97:D97)</f>
        <v>48</v>
      </c>
      <c r="G97" s="2">
        <v>7.0</v>
      </c>
      <c r="H97" s="2">
        <v>6.0</v>
      </c>
      <c r="I97" s="2">
        <v>3.0</v>
      </c>
    </row>
    <row r="98" ht="14.25" customHeight="1">
      <c r="A98" s="1"/>
      <c r="B98" s="3">
        <f t="shared" ref="B98:D98" si="91">(B97/$E$133)*100</f>
        <v>0.7741027445</v>
      </c>
      <c r="C98" s="3">
        <f t="shared" si="91"/>
        <v>0.4926108374</v>
      </c>
      <c r="D98" s="3">
        <f t="shared" si="91"/>
        <v>0.4222378607</v>
      </c>
      <c r="E98" s="3">
        <f t="shared" si="92"/>
        <v>1.688951443</v>
      </c>
    </row>
    <row r="99" ht="14.25" customHeight="1">
      <c r="A99" s="1"/>
      <c r="B99" s="3">
        <f t="shared" ref="B99:D99" si="93">(B97/$E$97)*100</f>
        <v>45.83333333</v>
      </c>
      <c r="C99" s="3">
        <f t="shared" si="93"/>
        <v>29.16666667</v>
      </c>
      <c r="D99" s="3">
        <f t="shared" si="93"/>
        <v>25</v>
      </c>
    </row>
    <row r="100" ht="14.25" customHeight="1">
      <c r="A100" s="1"/>
      <c r="B100" s="3">
        <f t="shared" ref="B100:D100" si="94">(B97/B133)*100</f>
        <v>1.123595506</v>
      </c>
      <c r="C100" s="3">
        <f t="shared" si="94"/>
        <v>4.204204204</v>
      </c>
      <c r="D100" s="3">
        <f t="shared" si="94"/>
        <v>2.177858439</v>
      </c>
    </row>
    <row r="101" ht="14.25" customHeight="1">
      <c r="A101" s="1" t="s">
        <v>71</v>
      </c>
      <c r="B101" s="2">
        <v>123.0</v>
      </c>
      <c r="C101" s="2">
        <v>4.0</v>
      </c>
      <c r="D101" s="2">
        <v>8.0</v>
      </c>
      <c r="E101" s="2">
        <f t="shared" ref="E101:E102" si="96">SUM(B101:D101)</f>
        <v>135</v>
      </c>
      <c r="G101" s="2">
        <v>14.0</v>
      </c>
      <c r="H101" s="2">
        <v>1.0</v>
      </c>
      <c r="I101" s="2">
        <v>1.0</v>
      </c>
    </row>
    <row r="102" ht="14.25" customHeight="1">
      <c r="A102" s="1"/>
      <c r="B102" s="3">
        <f t="shared" ref="B102:D102" si="95">(B101/$E$133)*100</f>
        <v>4.327938072</v>
      </c>
      <c r="C102" s="3">
        <f t="shared" si="95"/>
        <v>0.1407459536</v>
      </c>
      <c r="D102" s="3">
        <f t="shared" si="95"/>
        <v>0.2814919071</v>
      </c>
      <c r="E102" s="3">
        <f t="shared" si="96"/>
        <v>4.750175932</v>
      </c>
    </row>
    <row r="103" ht="14.25" customHeight="1">
      <c r="A103" s="1"/>
      <c r="B103" s="3">
        <f t="shared" ref="B103:D103" si="97">(B101/$E$101)*100</f>
        <v>91.11111111</v>
      </c>
      <c r="C103" s="3">
        <f t="shared" si="97"/>
        <v>2.962962963</v>
      </c>
      <c r="D103" s="3">
        <f t="shared" si="97"/>
        <v>5.925925926</v>
      </c>
    </row>
    <row r="104" ht="14.25" customHeight="1">
      <c r="A104" s="1"/>
      <c r="B104" s="3">
        <f t="shared" ref="B104:D104" si="98">(B101/B133)*100</f>
        <v>6.281920327</v>
      </c>
      <c r="C104" s="3">
        <f t="shared" si="98"/>
        <v>1.201201201</v>
      </c>
      <c r="D104" s="3">
        <f t="shared" si="98"/>
        <v>1.451905626</v>
      </c>
    </row>
    <row r="105" ht="14.25" customHeight="1">
      <c r="A105" s="1" t="s">
        <v>72</v>
      </c>
      <c r="B105" s="2">
        <v>115.0</v>
      </c>
      <c r="C105" s="2">
        <v>21.0</v>
      </c>
      <c r="D105" s="2">
        <v>19.0</v>
      </c>
      <c r="E105" s="2">
        <f t="shared" ref="E105:E106" si="100">SUM(B105:D105)</f>
        <v>155</v>
      </c>
      <c r="G105" s="2">
        <v>9.0</v>
      </c>
      <c r="H105" s="2">
        <v>2.0</v>
      </c>
      <c r="I105" s="2">
        <v>5.0</v>
      </c>
    </row>
    <row r="106" ht="14.25" customHeight="1">
      <c r="A106" s="1"/>
      <c r="B106" s="3">
        <f t="shared" ref="B106:D106" si="99">(B105/$E$133)*100</f>
        <v>4.046446165</v>
      </c>
      <c r="C106" s="3">
        <f t="shared" si="99"/>
        <v>0.7389162562</v>
      </c>
      <c r="D106" s="3">
        <f t="shared" si="99"/>
        <v>0.6685432794</v>
      </c>
      <c r="E106" s="3">
        <f t="shared" si="100"/>
        <v>5.4539057</v>
      </c>
    </row>
    <row r="107" ht="14.25" customHeight="1">
      <c r="A107" s="1"/>
      <c r="B107" s="3">
        <f t="shared" ref="B107:D107" si="101">(B105/$E$105)*100</f>
        <v>74.19354839</v>
      </c>
      <c r="C107" s="3">
        <f t="shared" si="101"/>
        <v>13.5483871</v>
      </c>
      <c r="D107" s="3">
        <f t="shared" si="101"/>
        <v>12.25806452</v>
      </c>
    </row>
    <row r="108" ht="14.25" customHeight="1">
      <c r="A108" s="1"/>
      <c r="B108" s="3">
        <f t="shared" ref="B108:D108" si="102">(B105/B133)*100</f>
        <v>5.873340143</v>
      </c>
      <c r="C108" s="3">
        <f t="shared" si="102"/>
        <v>6.306306306</v>
      </c>
      <c r="D108" s="3">
        <f t="shared" si="102"/>
        <v>3.448275862</v>
      </c>
    </row>
    <row r="109" ht="14.25" customHeight="1">
      <c r="A109" s="1" t="s">
        <v>73</v>
      </c>
      <c r="B109" s="2">
        <v>132.0</v>
      </c>
      <c r="C109" s="2">
        <v>9.0</v>
      </c>
      <c r="D109" s="2">
        <v>13.0</v>
      </c>
      <c r="E109" s="2">
        <f t="shared" ref="E109:E110" si="104">SUM(B109:D109)</f>
        <v>154</v>
      </c>
      <c r="G109" s="2">
        <v>13.0</v>
      </c>
      <c r="H109" s="2">
        <v>0.0</v>
      </c>
      <c r="I109" s="2">
        <v>3.0</v>
      </c>
    </row>
    <row r="110" ht="14.25" customHeight="1">
      <c r="A110" s="1"/>
      <c r="B110" s="3">
        <f t="shared" ref="B110:D110" si="103">(B109/$E$133)*100</f>
        <v>4.644616467</v>
      </c>
      <c r="C110" s="3">
        <f t="shared" si="103"/>
        <v>0.3166783955</v>
      </c>
      <c r="D110" s="3">
        <f t="shared" si="103"/>
        <v>0.457424349</v>
      </c>
      <c r="E110" s="3">
        <f t="shared" si="104"/>
        <v>5.418719212</v>
      </c>
    </row>
    <row r="111" ht="14.25" customHeight="1">
      <c r="A111" s="1"/>
      <c r="B111" s="3">
        <f t="shared" ref="B111:D111" si="105">(B109/$E$109)*100</f>
        <v>85.71428571</v>
      </c>
      <c r="C111" s="3">
        <f t="shared" si="105"/>
        <v>5.844155844</v>
      </c>
      <c r="D111" s="3">
        <f t="shared" si="105"/>
        <v>8.441558442</v>
      </c>
    </row>
    <row r="112" ht="14.25" customHeight="1">
      <c r="A112" s="1"/>
      <c r="B112" s="3">
        <f t="shared" ref="B112:D112" si="106">(B109/B133)*100</f>
        <v>6.741573034</v>
      </c>
      <c r="C112" s="3">
        <f t="shared" si="106"/>
        <v>2.702702703</v>
      </c>
      <c r="D112" s="3">
        <f t="shared" si="106"/>
        <v>2.359346642</v>
      </c>
    </row>
    <row r="113" ht="14.25" customHeight="1">
      <c r="A113" s="1" t="s">
        <v>78</v>
      </c>
      <c r="B113" s="2">
        <v>37.0</v>
      </c>
      <c r="C113" s="2">
        <v>7.0</v>
      </c>
      <c r="D113" s="2">
        <v>6.0</v>
      </c>
      <c r="E113" s="2">
        <f t="shared" ref="E113:E114" si="108">SUM(B113:D113)</f>
        <v>50</v>
      </c>
      <c r="G113" s="2">
        <v>13.0</v>
      </c>
      <c r="H113" s="2">
        <v>2.0</v>
      </c>
      <c r="I113" s="2">
        <v>3.0</v>
      </c>
    </row>
    <row r="114" ht="14.25" customHeight="1">
      <c r="A114" s="1"/>
      <c r="B114" s="3">
        <f t="shared" ref="B114:D114" si="107">(B113/$E$133)*100</f>
        <v>1.30190007</v>
      </c>
      <c r="C114" s="3">
        <f t="shared" si="107"/>
        <v>0.2463054187</v>
      </c>
      <c r="D114" s="3">
        <f t="shared" si="107"/>
        <v>0.2111189303</v>
      </c>
      <c r="E114" s="3">
        <f t="shared" si="108"/>
        <v>1.759324419</v>
      </c>
    </row>
    <row r="115" ht="14.25" customHeight="1">
      <c r="A115" s="1"/>
      <c r="B115" s="2">
        <f t="shared" ref="B115:D115" si="109">(B113/$E$113)*100</f>
        <v>74</v>
      </c>
      <c r="C115" s="3">
        <f t="shared" si="109"/>
        <v>14</v>
      </c>
      <c r="D115" s="3">
        <f t="shared" si="109"/>
        <v>12</v>
      </c>
    </row>
    <row r="116" ht="14.25" customHeight="1">
      <c r="A116" s="1"/>
      <c r="B116" s="3">
        <f t="shared" ref="B116:D116" si="110">(B113/B133)*100</f>
        <v>1.88968335</v>
      </c>
      <c r="C116" s="3">
        <f t="shared" si="110"/>
        <v>2.102102102</v>
      </c>
      <c r="D116" s="3">
        <f t="shared" si="110"/>
        <v>1.08892922</v>
      </c>
    </row>
    <row r="117" ht="14.25" customHeight="1">
      <c r="A117" s="1" t="s">
        <v>75</v>
      </c>
      <c r="B117" s="2">
        <v>84.0</v>
      </c>
      <c r="C117" s="2">
        <v>5.0</v>
      </c>
      <c r="D117" s="2">
        <v>10.0</v>
      </c>
      <c r="E117" s="2">
        <f t="shared" ref="E117:E118" si="112">SUM(B117:D117)</f>
        <v>99</v>
      </c>
      <c r="G117" s="2">
        <v>14.0</v>
      </c>
      <c r="H117" s="2">
        <v>1.0</v>
      </c>
      <c r="I117" s="2">
        <v>1.0</v>
      </c>
    </row>
    <row r="118" ht="14.25" customHeight="1">
      <c r="A118" s="1"/>
      <c r="B118" s="3">
        <f t="shared" ref="B118:D118" si="111">(B117/$E$133)*100</f>
        <v>2.955665025</v>
      </c>
      <c r="C118" s="3">
        <f t="shared" si="111"/>
        <v>0.1759324419</v>
      </c>
      <c r="D118" s="3">
        <f t="shared" si="111"/>
        <v>0.3518648839</v>
      </c>
      <c r="E118" s="3">
        <f t="shared" si="112"/>
        <v>3.48346235</v>
      </c>
    </row>
    <row r="119" ht="14.25" customHeight="1">
      <c r="A119" s="1"/>
      <c r="B119" s="3">
        <f t="shared" ref="B119:D119" si="113">(B117/$E$117)*100</f>
        <v>84.84848485</v>
      </c>
      <c r="C119" s="3">
        <f t="shared" si="113"/>
        <v>5.050505051</v>
      </c>
      <c r="D119" s="3">
        <f t="shared" si="113"/>
        <v>10.1010101</v>
      </c>
    </row>
    <row r="120" ht="14.25" customHeight="1">
      <c r="A120" s="1"/>
      <c r="B120" s="3">
        <f t="shared" ref="B120:D120" si="114">(B117/B133)*100</f>
        <v>4.290091931</v>
      </c>
      <c r="C120" s="3">
        <f t="shared" si="114"/>
        <v>1.501501502</v>
      </c>
      <c r="D120" s="3">
        <f t="shared" si="114"/>
        <v>1.814882033</v>
      </c>
    </row>
    <row r="121" ht="14.25" customHeight="1">
      <c r="A121" s="1" t="s">
        <v>79</v>
      </c>
      <c r="B121" s="2">
        <v>19.0</v>
      </c>
      <c r="C121" s="2">
        <v>0.0</v>
      </c>
      <c r="D121" s="2">
        <v>0.0</v>
      </c>
      <c r="E121" s="2">
        <f t="shared" ref="E121:E122" si="116">SUM(B121:D121)</f>
        <v>19</v>
      </c>
    </row>
    <row r="122" ht="14.25" customHeight="1">
      <c r="A122" s="1"/>
      <c r="B122" s="3">
        <f t="shared" ref="B122:D122" si="115">(B121/$E$133)*100</f>
        <v>0.6685432794</v>
      </c>
      <c r="C122" s="16">
        <f t="shared" si="115"/>
        <v>0</v>
      </c>
      <c r="D122" s="16">
        <f t="shared" si="115"/>
        <v>0</v>
      </c>
      <c r="E122" s="3">
        <f t="shared" si="116"/>
        <v>0.6685432794</v>
      </c>
    </row>
    <row r="123" ht="14.25" customHeight="1">
      <c r="A123" s="1"/>
      <c r="B123" s="2">
        <v>100.0</v>
      </c>
      <c r="C123" s="2">
        <v>0.0</v>
      </c>
      <c r="D123" s="2">
        <v>0.0</v>
      </c>
    </row>
    <row r="124" ht="14.25" customHeight="1">
      <c r="A124" s="1"/>
      <c r="B124" s="3">
        <f>(B121/B133)*100</f>
        <v>0.9703779367</v>
      </c>
      <c r="C124" s="2">
        <v>0.0</v>
      </c>
      <c r="D124" s="2">
        <v>0.0</v>
      </c>
    </row>
    <row r="125" ht="14.25" customHeight="1">
      <c r="A125" s="6" t="s">
        <v>76</v>
      </c>
      <c r="B125" s="2">
        <v>15.0</v>
      </c>
      <c r="C125" s="2">
        <v>6.0</v>
      </c>
      <c r="D125" s="2">
        <v>7.0</v>
      </c>
      <c r="E125" s="2">
        <f t="shared" ref="E125:E126" si="118">SUM(B125:D125)</f>
        <v>28</v>
      </c>
      <c r="G125" s="2">
        <v>10.0</v>
      </c>
      <c r="H125" s="2">
        <v>3.0</v>
      </c>
      <c r="I125" s="2">
        <v>2.0</v>
      </c>
    </row>
    <row r="126" ht="14.25" customHeight="1">
      <c r="A126" s="1"/>
      <c r="B126" s="3">
        <f t="shared" ref="B126:D126" si="117">(B125/$E$133)*100</f>
        <v>0.5277973258</v>
      </c>
      <c r="C126" s="3">
        <f t="shared" si="117"/>
        <v>0.2111189303</v>
      </c>
      <c r="D126" s="3">
        <f t="shared" si="117"/>
        <v>0.2463054187</v>
      </c>
      <c r="E126" s="3">
        <f t="shared" si="118"/>
        <v>0.9852216749</v>
      </c>
    </row>
    <row r="127" ht="14.25" customHeight="1">
      <c r="A127" s="1"/>
      <c r="B127" s="3">
        <f t="shared" ref="B127:D127" si="119">(B125/$E$125)*100</f>
        <v>53.57142857</v>
      </c>
      <c r="C127" s="3">
        <f t="shared" si="119"/>
        <v>21.42857143</v>
      </c>
      <c r="D127" s="3">
        <f t="shared" si="119"/>
        <v>25</v>
      </c>
      <c r="E127" s="3"/>
    </row>
    <row r="128" ht="14.25" customHeight="1">
      <c r="A128" s="1"/>
      <c r="B128" s="3">
        <f t="shared" ref="B128:D128" si="120">(B125/B133)*100</f>
        <v>0.7660878447</v>
      </c>
      <c r="C128" s="3">
        <f t="shared" si="120"/>
        <v>1.801801802</v>
      </c>
      <c r="D128" s="3">
        <f t="shared" si="120"/>
        <v>1.270417423</v>
      </c>
      <c r="E128" s="3"/>
    </row>
    <row r="129" ht="14.25" customHeight="1">
      <c r="A129" s="1" t="s">
        <v>80</v>
      </c>
      <c r="B129" s="2">
        <v>1.0</v>
      </c>
      <c r="C129" s="2">
        <v>0.0</v>
      </c>
      <c r="D129" s="2">
        <v>0.0</v>
      </c>
      <c r="E129" s="2">
        <f t="shared" ref="E129:E130" si="122">SUM(B129:D129)</f>
        <v>1</v>
      </c>
    </row>
    <row r="130" ht="14.25" customHeight="1">
      <c r="A130" s="1"/>
      <c r="B130" s="3">
        <f t="shared" ref="B130:D130" si="121">(B129/$E$133)*100</f>
        <v>0.03518648839</v>
      </c>
      <c r="C130" s="2">
        <f t="shared" si="121"/>
        <v>0</v>
      </c>
      <c r="D130" s="2">
        <f t="shared" si="121"/>
        <v>0</v>
      </c>
      <c r="E130" s="3">
        <f t="shared" si="122"/>
        <v>0.03518648839</v>
      </c>
    </row>
    <row r="131" ht="14.25" customHeight="1">
      <c r="A131" s="1"/>
      <c r="B131" s="2">
        <v>100.0</v>
      </c>
      <c r="C131" s="2">
        <v>0.0</v>
      </c>
      <c r="D131" s="2">
        <v>0.0</v>
      </c>
    </row>
    <row r="132" ht="14.25" customHeight="1">
      <c r="A132" s="1"/>
      <c r="B132" s="3">
        <f>(B129/B133)*100</f>
        <v>0.05107252298</v>
      </c>
      <c r="C132" s="2">
        <v>0.0</v>
      </c>
      <c r="D132" s="2">
        <v>0.0</v>
      </c>
    </row>
    <row r="133" ht="14.25" customHeight="1">
      <c r="A133" s="1" t="s">
        <v>44</v>
      </c>
      <c r="B133" s="2">
        <f>sum(B4,B8,B12,B20,B16,B24,B28,B32,B36,B40,B44,B48,B52,B57,B61,B65,B69,B73,B77,B81,B85,B89,B93,B97,B101,B105,B109,B113,B117,B121,B125,B129)</f>
        <v>1958</v>
      </c>
      <c r="C133" s="2">
        <f t="shared" ref="C133:D133" si="123">sum(C4,C8,C12,C16,C20,C24,C28,C32,C36,C40,C44,C48,C52,C57,C61,C65,C69,C73,C77,C81,C85,C89,C93,C97,C101,C105,C109,C113,C117,C121,C125,C129)</f>
        <v>333</v>
      </c>
      <c r="D133" s="2">
        <f t="shared" si="123"/>
        <v>551</v>
      </c>
      <c r="E133" s="2">
        <f t="shared" ref="E133:E134" si="125">SUM(B133:D133)</f>
        <v>2842</v>
      </c>
    </row>
    <row r="134" ht="14.25" customHeight="1">
      <c r="A134" s="1"/>
      <c r="B134" s="3">
        <f>SUM(B5,B9,B13,B17,B21,B29,B25,B33,B37,B41,B45,B49,B53,B58,B62,B66,B70,B74,B78,B82,B86,B90,B94,B98,B102,B106,B110,B114,B118,B122,B126,B130)</f>
        <v>68.89514426</v>
      </c>
      <c r="C134" s="3">
        <f t="shared" ref="C134:D134" si="124">sum(C5,C9,C13,C17,C21,C25,C29,C33,C37,C41,C45,C49,C53,C58,C62,C66,C70,C74,C78,C82,C86,C90,C94,C98,C102,C106,C110,C114,C118,C122,C126,C130)</f>
        <v>11.71710063</v>
      </c>
      <c r="D134" s="3">
        <f t="shared" si="124"/>
        <v>19.3877551</v>
      </c>
      <c r="E134" s="3">
        <f t="shared" si="125"/>
        <v>100</v>
      </c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  <row r="1002" ht="14.25" customHeight="1">
      <c r="A1002" s="1"/>
    </row>
    <row r="1003" ht="14.25" customHeight="1">
      <c r="A1003" s="1"/>
    </row>
    <row r="1004" ht="14.25" customHeight="1">
      <c r="A1004" s="1"/>
    </row>
    <row r="1005" ht="14.25" customHeight="1">
      <c r="A1005" s="1"/>
    </row>
    <row r="1006" ht="14.25" customHeight="1">
      <c r="A1006" s="1"/>
    </row>
    <row r="1007" ht="14.25" customHeight="1">
      <c r="A1007" s="1"/>
    </row>
    <row r="1008" ht="14.25" customHeight="1">
      <c r="A1008" s="1"/>
    </row>
    <row r="1009" ht="14.25" customHeight="1">
      <c r="A1009" s="1"/>
    </row>
    <row r="1010" ht="14.25" customHeight="1">
      <c r="A1010" s="1"/>
    </row>
    <row r="1011" ht="14.25" customHeight="1">
      <c r="A1011" s="1"/>
    </row>
    <row r="1012" ht="14.25" customHeight="1">
      <c r="A1012" s="1"/>
    </row>
    <row r="1013" ht="14.25" customHeight="1">
      <c r="A1013" s="1"/>
    </row>
    <row r="1014" ht="14.25" customHeight="1">
      <c r="A1014" s="1"/>
    </row>
    <row r="1015" ht="14.25" customHeight="1">
      <c r="A1015" s="1"/>
    </row>
    <row r="1016" ht="14.25" customHeight="1">
      <c r="A1016" s="1"/>
    </row>
    <row r="1017" ht="14.25" customHeight="1">
      <c r="A1017" s="1"/>
    </row>
    <row r="1018" ht="14.25" customHeight="1">
      <c r="A1018" s="1"/>
    </row>
    <row r="1019" ht="14.25" customHeight="1">
      <c r="A1019" s="1"/>
    </row>
    <row r="1020" ht="14.25" customHeight="1">
      <c r="A1020" s="1"/>
    </row>
    <row r="1021" ht="14.25" customHeight="1">
      <c r="A1021" s="1"/>
    </row>
    <row r="1022" ht="14.25" customHeight="1">
      <c r="A1022" s="1"/>
    </row>
    <row r="1023" ht="14.25" customHeight="1">
      <c r="A1023" s="1"/>
    </row>
    <row r="1024" ht="14.25" customHeight="1">
      <c r="A1024" s="1"/>
    </row>
    <row r="1025" ht="14.25" customHeight="1">
      <c r="A1025" s="1"/>
    </row>
    <row r="1026" ht="14.25" customHeight="1">
      <c r="A1026" s="1"/>
    </row>
    <row r="1027" ht="14.25" customHeight="1">
      <c r="A1027" s="1"/>
    </row>
    <row r="1028" ht="14.25" customHeight="1">
      <c r="A1028" s="1"/>
    </row>
    <row r="1029" ht="14.25" customHeight="1">
      <c r="A1029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14"/>
    <col customWidth="1" min="2" max="2" width="15.43"/>
    <col customWidth="1" min="3" max="3" width="13.29"/>
    <col customWidth="1" min="4" max="6" width="8.71"/>
    <col customWidth="1" min="7" max="7" width="13.14"/>
    <col customWidth="1" min="8" max="9" width="8.71"/>
    <col customWidth="1" min="10" max="10" width="29.57"/>
    <col customWidth="1" min="11" max="26" width="8.71"/>
  </cols>
  <sheetData>
    <row r="1" ht="14.25" customHeight="1">
      <c r="A1" s="1" t="s">
        <v>14</v>
      </c>
    </row>
    <row r="2" ht="14.25" customHeight="1">
      <c r="A2" s="1" t="s">
        <v>15</v>
      </c>
      <c r="B2" s="1" t="s">
        <v>0</v>
      </c>
      <c r="C2" s="1"/>
      <c r="D2" s="1"/>
      <c r="E2" s="1"/>
    </row>
    <row r="3" ht="14.25" customHeight="1">
      <c r="A3" s="1"/>
      <c r="B3" s="1" t="s">
        <v>1</v>
      </c>
      <c r="C3" s="1" t="s">
        <v>2</v>
      </c>
      <c r="D3" s="1" t="s">
        <v>3</v>
      </c>
      <c r="E3" s="1" t="s">
        <v>4</v>
      </c>
      <c r="G3" s="5">
        <v>2024.0</v>
      </c>
    </row>
    <row r="4" ht="14.25" customHeight="1">
      <c r="A4" s="4" t="s">
        <v>46</v>
      </c>
      <c r="B4" s="2">
        <v>130.0</v>
      </c>
      <c r="C4" s="2">
        <v>18.0</v>
      </c>
      <c r="D4" s="2">
        <v>24.0</v>
      </c>
      <c r="E4" s="2">
        <f t="shared" ref="E4:E5" si="2">SUM(B4:D4)</f>
        <v>172</v>
      </c>
      <c r="G4" s="2">
        <v>7.0</v>
      </c>
      <c r="H4" s="2">
        <v>1.0</v>
      </c>
      <c r="I4" s="2">
        <v>8.0</v>
      </c>
      <c r="J4" s="2" t="s">
        <v>16</v>
      </c>
    </row>
    <row r="5" ht="14.25" customHeight="1">
      <c r="A5" s="1"/>
      <c r="B5" s="3">
        <f t="shared" ref="B5:D5" si="1">(B4/$E$133)*100</f>
        <v>3.959792872</v>
      </c>
      <c r="C5" s="3">
        <f t="shared" si="1"/>
        <v>0.5482790131</v>
      </c>
      <c r="D5" s="3">
        <f t="shared" si="1"/>
        <v>0.7310386841</v>
      </c>
      <c r="E5" s="3">
        <f t="shared" si="2"/>
        <v>5.23911057</v>
      </c>
      <c r="J5" s="2" t="s">
        <v>17</v>
      </c>
    </row>
    <row r="6" ht="14.25" customHeight="1">
      <c r="A6" s="1"/>
      <c r="B6" s="2">
        <f t="shared" ref="B6:D6" si="3">(B4/$E$4)*100</f>
        <v>75.58139535</v>
      </c>
      <c r="C6" s="3">
        <f t="shared" si="3"/>
        <v>10.46511628</v>
      </c>
      <c r="D6" s="3">
        <f t="shared" si="3"/>
        <v>13.95348837</v>
      </c>
      <c r="J6" s="2" t="s">
        <v>18</v>
      </c>
    </row>
    <row r="7" ht="14.25" customHeight="1">
      <c r="A7" s="1"/>
      <c r="B7" s="3">
        <f t="shared" ref="B7:D7" si="4">(B4/B133)*100</f>
        <v>5.869074492</v>
      </c>
      <c r="C7" s="3">
        <f t="shared" si="4"/>
        <v>4.422604423</v>
      </c>
      <c r="D7" s="3">
        <f t="shared" si="4"/>
        <v>3.63086233</v>
      </c>
      <c r="J7" s="2" t="s">
        <v>19</v>
      </c>
    </row>
    <row r="8" ht="14.25" customHeight="1">
      <c r="A8" s="1" t="s">
        <v>47</v>
      </c>
      <c r="B8" s="2">
        <v>93.0</v>
      </c>
      <c r="C8" s="2">
        <v>34.0</v>
      </c>
      <c r="D8" s="2">
        <v>44.0</v>
      </c>
      <c r="E8" s="2">
        <f t="shared" ref="E8:E9" si="6">SUM(B8:D8)</f>
        <v>171</v>
      </c>
      <c r="G8" s="2">
        <v>10.0</v>
      </c>
      <c r="H8" s="2">
        <v>4.0</v>
      </c>
      <c r="I8" s="2">
        <v>2.0</v>
      </c>
    </row>
    <row r="9" ht="14.25" customHeight="1">
      <c r="A9" s="1"/>
      <c r="B9" s="3">
        <f t="shared" ref="B9:D9" si="5">(B8/$E$133)*100</f>
        <v>2.832774901</v>
      </c>
      <c r="C9" s="3">
        <f t="shared" si="5"/>
        <v>1.035638136</v>
      </c>
      <c r="D9" s="3">
        <f t="shared" si="5"/>
        <v>1.340237588</v>
      </c>
      <c r="E9" s="3">
        <f t="shared" si="6"/>
        <v>5.208650624</v>
      </c>
    </row>
    <row r="10" ht="14.25" customHeight="1">
      <c r="A10" s="1"/>
      <c r="B10" s="3">
        <f t="shared" ref="B10:D10" si="7">(B8/$E$8)*100</f>
        <v>54.38596491</v>
      </c>
      <c r="C10" s="3">
        <f t="shared" si="7"/>
        <v>19.88304094</v>
      </c>
      <c r="D10" s="3">
        <f t="shared" si="7"/>
        <v>25.73099415</v>
      </c>
    </row>
    <row r="11" ht="14.25" customHeight="1">
      <c r="A11" s="1"/>
      <c r="B11" s="3">
        <f t="shared" ref="B11:D11" si="8">(B8/B133)*100</f>
        <v>4.198645598</v>
      </c>
      <c r="C11" s="3">
        <f t="shared" si="8"/>
        <v>8.353808354</v>
      </c>
      <c r="D11" s="3">
        <f t="shared" si="8"/>
        <v>6.656580938</v>
      </c>
    </row>
    <row r="12" ht="14.25" customHeight="1">
      <c r="A12" s="1" t="s">
        <v>48</v>
      </c>
      <c r="B12" s="2">
        <v>97.0</v>
      </c>
      <c r="C12" s="2">
        <v>32.0</v>
      </c>
      <c r="D12" s="2">
        <v>41.0</v>
      </c>
      <c r="E12" s="2">
        <f t="shared" ref="E12:E13" si="10">SUM(B12:D12)</f>
        <v>170</v>
      </c>
      <c r="G12" s="2">
        <v>5.0</v>
      </c>
      <c r="H12" s="2">
        <v>7.0</v>
      </c>
      <c r="I12" s="2">
        <v>4.0</v>
      </c>
    </row>
    <row r="13" ht="14.25" customHeight="1">
      <c r="A13" s="1"/>
      <c r="B13" s="3">
        <f t="shared" ref="B13:D13" si="9">(B12/$E$133)*100</f>
        <v>2.954614682</v>
      </c>
      <c r="C13" s="3">
        <f t="shared" si="9"/>
        <v>0.9747182455</v>
      </c>
      <c r="D13" s="3">
        <f t="shared" si="9"/>
        <v>1.248857752</v>
      </c>
      <c r="E13" s="3">
        <f t="shared" si="10"/>
        <v>5.178190679</v>
      </c>
    </row>
    <row r="14" ht="14.25" customHeight="1">
      <c r="A14" s="1"/>
      <c r="B14" s="3">
        <f t="shared" ref="B14:D14" si="11">(B12/$E$12)*100</f>
        <v>57.05882353</v>
      </c>
      <c r="C14" s="3">
        <f t="shared" si="11"/>
        <v>18.82352941</v>
      </c>
      <c r="D14" s="3">
        <f t="shared" si="11"/>
        <v>24.11764706</v>
      </c>
    </row>
    <row r="15" ht="14.25" customHeight="1">
      <c r="A15" s="1"/>
      <c r="B15" s="3">
        <f t="shared" ref="B15:D15" si="12">(B12/B133)*100</f>
        <v>4.379232506</v>
      </c>
      <c r="C15" s="3">
        <f t="shared" si="12"/>
        <v>7.862407862</v>
      </c>
      <c r="D15" s="3">
        <f t="shared" si="12"/>
        <v>6.202723147</v>
      </c>
    </row>
    <row r="16" ht="14.25" customHeight="1">
      <c r="A16" s="1" t="s">
        <v>49</v>
      </c>
      <c r="B16" s="2">
        <v>126.0</v>
      </c>
      <c r="C16" s="2">
        <v>2.0</v>
      </c>
      <c r="D16" s="2">
        <v>5.0</v>
      </c>
      <c r="E16" s="2">
        <f t="shared" ref="E16:E17" si="14">SUM(B16:D16)</f>
        <v>133</v>
      </c>
      <c r="G16" s="2">
        <v>15.0</v>
      </c>
      <c r="H16" s="2">
        <v>0.0</v>
      </c>
      <c r="I16" s="2">
        <v>1.0</v>
      </c>
    </row>
    <row r="17" ht="14.25" customHeight="1">
      <c r="A17" s="1"/>
      <c r="B17" s="3">
        <f t="shared" ref="B17:D17" si="13">(B16/$E$133)*100</f>
        <v>3.837953092</v>
      </c>
      <c r="C17" s="3">
        <f t="shared" si="13"/>
        <v>0.06091989034</v>
      </c>
      <c r="D17" s="3">
        <f t="shared" si="13"/>
        <v>0.1522997259</v>
      </c>
      <c r="E17" s="3">
        <f t="shared" si="14"/>
        <v>4.051172708</v>
      </c>
    </row>
    <row r="18" ht="14.25" customHeight="1">
      <c r="A18" s="1"/>
      <c r="B18" s="3">
        <f t="shared" ref="B18:D18" si="15">(B16/$E$16)*100</f>
        <v>94.73684211</v>
      </c>
      <c r="C18" s="3">
        <f t="shared" si="15"/>
        <v>1.503759398</v>
      </c>
      <c r="D18" s="3">
        <f t="shared" si="15"/>
        <v>3.759398496</v>
      </c>
    </row>
    <row r="19" ht="14.25" customHeight="1">
      <c r="A19" s="1"/>
      <c r="B19" s="3">
        <f t="shared" ref="B19:D19" si="16">(B16/B133)*100</f>
        <v>5.688487585</v>
      </c>
      <c r="C19" s="3">
        <f t="shared" si="16"/>
        <v>0.4914004914</v>
      </c>
      <c r="D19" s="3">
        <f t="shared" si="16"/>
        <v>0.756429652</v>
      </c>
    </row>
    <row r="20" ht="14.25" customHeight="1">
      <c r="A20" s="6" t="s">
        <v>50</v>
      </c>
      <c r="B20" s="2">
        <v>25.0</v>
      </c>
      <c r="C20" s="2">
        <v>12.0</v>
      </c>
      <c r="D20" s="2">
        <v>8.0</v>
      </c>
      <c r="E20" s="2">
        <f t="shared" ref="E20:E21" si="18">SUM(B20:D20)</f>
        <v>45</v>
      </c>
      <c r="G20" s="2">
        <v>11.0</v>
      </c>
      <c r="H20" s="2">
        <v>4.0</v>
      </c>
      <c r="I20" s="2">
        <v>1.0</v>
      </c>
    </row>
    <row r="21" ht="14.25" customHeight="1">
      <c r="A21" s="1"/>
      <c r="B21" s="7">
        <f t="shared" ref="B21:D21" si="17">(B20/$E$133)*100</f>
        <v>0.7614986293</v>
      </c>
      <c r="C21" s="7">
        <f t="shared" si="17"/>
        <v>0.3655193421</v>
      </c>
      <c r="D21" s="7">
        <f t="shared" si="17"/>
        <v>0.2436795614</v>
      </c>
      <c r="E21" s="7">
        <f t="shared" si="18"/>
        <v>1.370697533</v>
      </c>
    </row>
    <row r="22" ht="14.25" customHeight="1">
      <c r="A22" s="1"/>
      <c r="B22" s="3">
        <f t="shared" ref="B22:D22" si="19">(B20/$E$20)*100</f>
        <v>55.55555556</v>
      </c>
      <c r="C22" s="3">
        <f t="shared" si="19"/>
        <v>26.66666667</v>
      </c>
      <c r="D22" s="3">
        <f t="shared" si="19"/>
        <v>17.77777778</v>
      </c>
    </row>
    <row r="23" ht="14.25" customHeight="1">
      <c r="A23" s="1"/>
      <c r="B23" s="7">
        <f t="shared" ref="B23:D23" si="20">(B20/B133)*100</f>
        <v>1.128668172</v>
      </c>
      <c r="C23" s="3">
        <f t="shared" si="20"/>
        <v>2.948402948</v>
      </c>
      <c r="D23" s="3">
        <f t="shared" si="20"/>
        <v>1.210287443</v>
      </c>
    </row>
    <row r="24" ht="14.25" customHeight="1">
      <c r="A24" s="1" t="s">
        <v>51</v>
      </c>
      <c r="B24" s="2">
        <v>98.0</v>
      </c>
      <c r="C24" s="2">
        <v>6.0</v>
      </c>
      <c r="D24" s="2">
        <v>7.0</v>
      </c>
      <c r="E24" s="2">
        <f t="shared" ref="E24:E25" si="22">SUM(B24:D24)</f>
        <v>111</v>
      </c>
      <c r="G24" s="2">
        <v>14.0</v>
      </c>
      <c r="H24" s="2">
        <v>1.0</v>
      </c>
      <c r="I24" s="2">
        <v>1.0</v>
      </c>
    </row>
    <row r="25" ht="14.25" customHeight="1">
      <c r="A25" s="1"/>
      <c r="B25" s="3">
        <f t="shared" ref="B25:D25" si="21">(B24/$E$133)*100</f>
        <v>2.985074627</v>
      </c>
      <c r="C25" s="3">
        <f t="shared" si="21"/>
        <v>0.182759671</v>
      </c>
      <c r="D25" s="3">
        <f t="shared" si="21"/>
        <v>0.2132196162</v>
      </c>
      <c r="E25" s="3">
        <f t="shared" si="22"/>
        <v>3.381053914</v>
      </c>
    </row>
    <row r="26" ht="14.25" customHeight="1">
      <c r="A26" s="1"/>
      <c r="B26" s="3">
        <f t="shared" ref="B26:D26" si="23">(B24/$E$24)*100</f>
        <v>88.28828829</v>
      </c>
      <c r="C26" s="3">
        <f t="shared" si="23"/>
        <v>5.405405405</v>
      </c>
      <c r="D26" s="3">
        <f t="shared" si="23"/>
        <v>6.306306306</v>
      </c>
    </row>
    <row r="27" ht="14.25" customHeight="1">
      <c r="A27" s="1"/>
      <c r="B27" s="3">
        <f t="shared" ref="B27:D27" si="24">(B24/B133)*100</f>
        <v>4.424379233</v>
      </c>
      <c r="C27" s="3">
        <f t="shared" si="24"/>
        <v>1.474201474</v>
      </c>
      <c r="D27" s="3">
        <f t="shared" si="24"/>
        <v>1.059001513</v>
      </c>
    </row>
    <row r="28" ht="14.25" customHeight="1">
      <c r="A28" s="6" t="s">
        <v>52</v>
      </c>
      <c r="B28" s="2">
        <v>27.0</v>
      </c>
      <c r="C28" s="2">
        <v>5.0</v>
      </c>
      <c r="D28" s="2">
        <v>2.0</v>
      </c>
      <c r="E28" s="2">
        <f t="shared" ref="E28:E29" si="26">SUM(B28:D28)</f>
        <v>34</v>
      </c>
      <c r="G28" s="2">
        <v>6.0</v>
      </c>
      <c r="H28" s="2">
        <v>1.0</v>
      </c>
      <c r="I28" s="2">
        <v>2.0</v>
      </c>
    </row>
    <row r="29" ht="14.25" customHeight="1">
      <c r="A29" s="1"/>
      <c r="B29" s="8">
        <f t="shared" ref="B29:D29" si="25">(B28/$E$133)*100</f>
        <v>0.8224185196</v>
      </c>
      <c r="C29" s="9">
        <f t="shared" si="25"/>
        <v>0.1522997259</v>
      </c>
      <c r="D29" s="3">
        <f t="shared" si="25"/>
        <v>0.06091989034</v>
      </c>
      <c r="E29" s="3">
        <f t="shared" si="26"/>
        <v>1.035638136</v>
      </c>
    </row>
    <row r="30" ht="14.25" customHeight="1">
      <c r="A30" s="1"/>
      <c r="B30" s="2">
        <f t="shared" ref="B30:D30" si="27">(B28/$E$28)*100</f>
        <v>79.41176471</v>
      </c>
      <c r="C30" s="2">
        <f t="shared" si="27"/>
        <v>14.70588235</v>
      </c>
      <c r="D30" s="2">
        <f t="shared" si="27"/>
        <v>5.882352941</v>
      </c>
    </row>
    <row r="31" ht="14.25" customHeight="1">
      <c r="A31" s="1"/>
      <c r="B31" s="3">
        <f t="shared" ref="B31:D31" si="28">(B28/B133)*100</f>
        <v>1.218961625</v>
      </c>
      <c r="C31" s="3">
        <f t="shared" si="28"/>
        <v>1.228501229</v>
      </c>
      <c r="D31" s="3">
        <f t="shared" si="28"/>
        <v>0.3025718608</v>
      </c>
    </row>
    <row r="32" ht="14.25" customHeight="1">
      <c r="A32" s="1" t="s">
        <v>53</v>
      </c>
      <c r="B32" s="2">
        <v>18.0</v>
      </c>
      <c r="C32" s="2">
        <v>0.0</v>
      </c>
      <c r="D32" s="2">
        <v>0.0</v>
      </c>
      <c r="E32" s="2">
        <f t="shared" ref="E32:E33" si="30">SUM(B32:D32)</f>
        <v>18</v>
      </c>
    </row>
    <row r="33" ht="14.25" customHeight="1">
      <c r="A33" s="1" t="s">
        <v>54</v>
      </c>
      <c r="B33" s="3">
        <f t="shared" ref="B33:D33" si="29">(B32/$E$133)*100</f>
        <v>0.5482790131</v>
      </c>
      <c r="C33" s="3">
        <f t="shared" si="29"/>
        <v>0</v>
      </c>
      <c r="D33" s="3">
        <f t="shared" si="29"/>
        <v>0</v>
      </c>
      <c r="E33" s="3">
        <f t="shared" si="30"/>
        <v>0.5482790131</v>
      </c>
    </row>
    <row r="34" ht="14.25" customHeight="1">
      <c r="A34" s="1"/>
      <c r="B34" s="2">
        <v>100.0</v>
      </c>
      <c r="C34" s="2">
        <v>0.0</v>
      </c>
      <c r="D34" s="2">
        <v>0.0</v>
      </c>
    </row>
    <row r="35" ht="14.25" customHeight="1">
      <c r="A35" s="1"/>
      <c r="B35" s="2">
        <f>(B32/18)*100</f>
        <v>100</v>
      </c>
      <c r="C35" s="2">
        <v>0.0</v>
      </c>
      <c r="D35" s="2">
        <v>0.0</v>
      </c>
    </row>
    <row r="36" ht="14.25" customHeight="1">
      <c r="A36" s="1" t="s">
        <v>55</v>
      </c>
      <c r="B36" s="2">
        <v>96.0</v>
      </c>
      <c r="C36" s="2">
        <v>10.0</v>
      </c>
      <c r="D36" s="2">
        <v>17.0</v>
      </c>
      <c r="E36" s="2">
        <f t="shared" ref="E36:E37" si="32">SUM(B36:D36)</f>
        <v>123</v>
      </c>
      <c r="G36" s="2">
        <v>14.0</v>
      </c>
      <c r="H36" s="2">
        <v>0.0</v>
      </c>
      <c r="I36" s="2">
        <v>2.0</v>
      </c>
    </row>
    <row r="37" ht="14.25" customHeight="1">
      <c r="A37" s="1"/>
      <c r="B37" s="3">
        <f t="shared" ref="B37:D37" si="31">(B36/$E$133)*100</f>
        <v>2.924154737</v>
      </c>
      <c r="C37" s="3">
        <f t="shared" si="31"/>
        <v>0.3045994517</v>
      </c>
      <c r="D37" s="3">
        <f t="shared" si="31"/>
        <v>0.5178190679</v>
      </c>
      <c r="E37" s="3">
        <f t="shared" si="32"/>
        <v>3.746573256</v>
      </c>
    </row>
    <row r="38" ht="14.25" customHeight="1">
      <c r="A38" s="1"/>
      <c r="B38" s="3">
        <f t="shared" ref="B38:D38" si="33">(B36/$E$36)*100</f>
        <v>78.04878049</v>
      </c>
      <c r="C38" s="3">
        <f t="shared" si="33"/>
        <v>8.130081301</v>
      </c>
      <c r="D38" s="3">
        <f t="shared" si="33"/>
        <v>13.82113821</v>
      </c>
    </row>
    <row r="39" ht="14.25" customHeight="1">
      <c r="A39" s="1"/>
      <c r="B39" s="3">
        <f t="shared" ref="B39:D39" si="34">(B36/B133)*100</f>
        <v>4.334085779</v>
      </c>
      <c r="C39" s="3">
        <f t="shared" si="34"/>
        <v>2.457002457</v>
      </c>
      <c r="D39" s="3">
        <f t="shared" si="34"/>
        <v>2.571860817</v>
      </c>
    </row>
    <row r="40" ht="14.25" customHeight="1">
      <c r="A40" s="1" t="s">
        <v>56</v>
      </c>
      <c r="B40" s="2">
        <v>110.0</v>
      </c>
      <c r="C40" s="2">
        <v>10.0</v>
      </c>
      <c r="D40" s="2">
        <v>29.0</v>
      </c>
      <c r="E40" s="2">
        <f t="shared" ref="E40:E41" si="36">SUM(B40:D40)</f>
        <v>149</v>
      </c>
      <c r="G40" s="2">
        <v>14.0</v>
      </c>
      <c r="H40" s="2">
        <v>1.0</v>
      </c>
      <c r="I40" s="2">
        <v>1.0</v>
      </c>
    </row>
    <row r="41" ht="14.25" customHeight="1">
      <c r="A41" s="1"/>
      <c r="B41" s="3">
        <f t="shared" ref="B41:D41" si="35">(B40/$E$133)*100</f>
        <v>3.350593969</v>
      </c>
      <c r="C41" s="3">
        <f t="shared" si="35"/>
        <v>0.3045994517</v>
      </c>
      <c r="D41" s="3">
        <f t="shared" si="35"/>
        <v>0.88333841</v>
      </c>
      <c r="E41" s="3">
        <f t="shared" si="36"/>
        <v>4.538531831</v>
      </c>
    </row>
    <row r="42" ht="14.25" customHeight="1">
      <c r="A42" s="1"/>
      <c r="B42" s="3">
        <f t="shared" ref="B42:D42" si="37">(B40/$E$40)*100</f>
        <v>73.82550336</v>
      </c>
      <c r="C42" s="3">
        <f t="shared" si="37"/>
        <v>6.711409396</v>
      </c>
      <c r="D42" s="3">
        <f t="shared" si="37"/>
        <v>19.46308725</v>
      </c>
    </row>
    <row r="43" ht="14.25" customHeight="1">
      <c r="A43" s="1"/>
      <c r="B43" s="3">
        <f t="shared" ref="B43:D43" si="38">(B40/B133)*100</f>
        <v>4.966139955</v>
      </c>
      <c r="C43" s="3">
        <f t="shared" si="38"/>
        <v>2.457002457</v>
      </c>
      <c r="D43" s="3">
        <f t="shared" si="38"/>
        <v>4.387291982</v>
      </c>
    </row>
    <row r="44" ht="14.25" customHeight="1">
      <c r="A44" s="1" t="s">
        <v>57</v>
      </c>
      <c r="B44" s="2">
        <v>2.0</v>
      </c>
      <c r="C44" s="2">
        <v>31.0</v>
      </c>
      <c r="D44" s="2">
        <v>94.0</v>
      </c>
      <c r="E44" s="2">
        <f t="shared" ref="E44:E45" si="40">SUM(B44:D44)</f>
        <v>127</v>
      </c>
      <c r="G44" s="2">
        <v>0.0</v>
      </c>
      <c r="H44" s="2">
        <v>2.0</v>
      </c>
      <c r="I44" s="2">
        <v>14.0</v>
      </c>
    </row>
    <row r="45" ht="14.25" customHeight="1">
      <c r="A45" s="1"/>
      <c r="B45" s="3">
        <f t="shared" ref="B45:D45" si="39">(B44/$E$133)*100</f>
        <v>0.06091989034</v>
      </c>
      <c r="C45" s="3">
        <f t="shared" si="39"/>
        <v>0.9442583003</v>
      </c>
      <c r="D45" s="3">
        <f t="shared" si="39"/>
        <v>2.863234846</v>
      </c>
      <c r="E45" s="3">
        <f t="shared" si="40"/>
        <v>3.868413037</v>
      </c>
    </row>
    <row r="46" ht="14.25" customHeight="1">
      <c r="A46" s="1"/>
      <c r="B46" s="3">
        <f t="shared" ref="B46:D46" si="41">(B44/$E$44)*100</f>
        <v>1.57480315</v>
      </c>
      <c r="C46" s="3">
        <f t="shared" si="41"/>
        <v>24.40944882</v>
      </c>
      <c r="D46" s="3">
        <f t="shared" si="41"/>
        <v>74.01574803</v>
      </c>
    </row>
    <row r="47" ht="14.25" customHeight="1">
      <c r="A47" s="1"/>
      <c r="B47" s="3">
        <f t="shared" ref="B47:D47" si="42">(B44/B133)*100</f>
        <v>0.09029345372</v>
      </c>
      <c r="C47" s="3">
        <f t="shared" si="42"/>
        <v>7.616707617</v>
      </c>
      <c r="D47" s="3">
        <f t="shared" si="42"/>
        <v>14.22087746</v>
      </c>
    </row>
    <row r="48" ht="14.25" customHeight="1">
      <c r="A48" s="1" t="s">
        <v>58</v>
      </c>
      <c r="B48" s="2">
        <v>149.0</v>
      </c>
      <c r="C48" s="2">
        <v>12.0</v>
      </c>
      <c r="D48" s="2">
        <v>10.0</v>
      </c>
      <c r="E48" s="2">
        <f t="shared" ref="E48:E49" si="44">SUM(B48:D48)</f>
        <v>171</v>
      </c>
      <c r="G48" s="2">
        <v>13.0</v>
      </c>
      <c r="H48" s="2">
        <v>1.0</v>
      </c>
      <c r="I48" s="2">
        <v>2.0</v>
      </c>
    </row>
    <row r="49" ht="14.25" customHeight="1">
      <c r="A49" s="1"/>
      <c r="B49" s="3">
        <f t="shared" ref="B49:D49" si="43">(B48/$E$133)*100</f>
        <v>4.538531831</v>
      </c>
      <c r="C49" s="3">
        <f t="shared" si="43"/>
        <v>0.3655193421</v>
      </c>
      <c r="D49" s="3">
        <f t="shared" si="43"/>
        <v>0.3045994517</v>
      </c>
      <c r="E49" s="3">
        <f t="shared" si="44"/>
        <v>5.208650624</v>
      </c>
    </row>
    <row r="50" ht="14.25" customHeight="1">
      <c r="A50" s="1"/>
      <c r="B50" s="3">
        <f t="shared" ref="B50:D50" si="45">(B48/$E$48)*100</f>
        <v>87.13450292</v>
      </c>
      <c r="C50" s="3">
        <f t="shared" si="45"/>
        <v>7.01754386</v>
      </c>
      <c r="D50" s="3">
        <f t="shared" si="45"/>
        <v>5.847953216</v>
      </c>
    </row>
    <row r="51" ht="14.25" customHeight="1">
      <c r="A51" s="1"/>
      <c r="B51" s="3">
        <f t="shared" ref="B51:D51" si="46">(B48/B133)*100</f>
        <v>6.726862302</v>
      </c>
      <c r="C51" s="3">
        <f t="shared" si="46"/>
        <v>2.948402948</v>
      </c>
      <c r="D51" s="3">
        <f t="shared" si="46"/>
        <v>1.512859304</v>
      </c>
    </row>
    <row r="52" ht="14.25" customHeight="1">
      <c r="A52" s="6" t="s">
        <v>59</v>
      </c>
      <c r="B52" s="2">
        <v>18.0</v>
      </c>
      <c r="C52" s="2">
        <v>13.0</v>
      </c>
      <c r="D52" s="2">
        <v>14.0</v>
      </c>
      <c r="E52" s="2">
        <f t="shared" ref="E52:E53" si="48">SUM(B52:D52)</f>
        <v>45</v>
      </c>
      <c r="G52" s="2">
        <v>5.0</v>
      </c>
      <c r="H52" s="2">
        <v>4.0</v>
      </c>
      <c r="I52" s="2">
        <v>7.0</v>
      </c>
    </row>
    <row r="53" ht="14.25" customHeight="1">
      <c r="A53" s="1"/>
      <c r="B53" s="7">
        <f t="shared" ref="B53:D53" si="47">(B52/$E$133)*100</f>
        <v>0.5482790131</v>
      </c>
      <c r="C53" s="7">
        <f t="shared" si="47"/>
        <v>0.3959792872</v>
      </c>
      <c r="D53" s="7">
        <f t="shared" si="47"/>
        <v>0.4264392324</v>
      </c>
      <c r="E53" s="7">
        <f t="shared" si="48"/>
        <v>1.370697533</v>
      </c>
    </row>
    <row r="54" ht="14.25" customHeight="1">
      <c r="A54" s="1"/>
      <c r="B54" s="3">
        <f t="shared" ref="B54:D54" si="49">(B52/$E$52)*100</f>
        <v>40</v>
      </c>
      <c r="C54" s="3">
        <f t="shared" si="49"/>
        <v>28.88888889</v>
      </c>
      <c r="D54" s="3">
        <f t="shared" si="49"/>
        <v>31.11111111</v>
      </c>
    </row>
    <row r="55" ht="14.25" customHeight="1">
      <c r="A55" s="1"/>
      <c r="B55" s="3">
        <f t="shared" ref="B55:D55" si="50">(B52/B133)*100</f>
        <v>0.8126410835</v>
      </c>
      <c r="C55" s="3">
        <f t="shared" si="50"/>
        <v>3.194103194</v>
      </c>
      <c r="D55" s="3">
        <f t="shared" si="50"/>
        <v>2.118003026</v>
      </c>
    </row>
    <row r="56" ht="14.25" customHeight="1">
      <c r="A56" s="1" t="s">
        <v>60</v>
      </c>
    </row>
    <row r="57" ht="14.25" customHeight="1">
      <c r="B57" s="2">
        <v>123.0</v>
      </c>
      <c r="C57" s="2">
        <v>9.0</v>
      </c>
      <c r="D57" s="2">
        <v>19.0</v>
      </c>
      <c r="E57" s="2">
        <f t="shared" ref="E57:E58" si="52">SUM(B57:D57)</f>
        <v>151</v>
      </c>
      <c r="G57" s="2">
        <v>15.0</v>
      </c>
      <c r="H57" s="2">
        <v>0.0</v>
      </c>
      <c r="I57" s="2">
        <v>1.0</v>
      </c>
    </row>
    <row r="58" ht="14.25" customHeight="1">
      <c r="A58" s="1"/>
      <c r="B58" s="3">
        <f t="shared" ref="B58:D58" si="51">(B57/$E$133)*100</f>
        <v>3.746573256</v>
      </c>
      <c r="C58" s="3">
        <f t="shared" si="51"/>
        <v>0.2741395065</v>
      </c>
      <c r="D58" s="3">
        <f t="shared" si="51"/>
        <v>0.5787389583</v>
      </c>
      <c r="E58" s="3">
        <f t="shared" si="52"/>
        <v>4.599451721</v>
      </c>
    </row>
    <row r="59" ht="14.25" customHeight="1">
      <c r="A59" s="1"/>
      <c r="B59" s="3">
        <f t="shared" ref="B59:D59" si="53">(B57/$E$57)*100</f>
        <v>81.45695364</v>
      </c>
      <c r="C59" s="3">
        <f t="shared" si="53"/>
        <v>5.960264901</v>
      </c>
      <c r="D59" s="3">
        <f t="shared" si="53"/>
        <v>12.58278146</v>
      </c>
    </row>
    <row r="60" ht="14.25" customHeight="1">
      <c r="A60" s="1"/>
      <c r="B60" s="3">
        <f t="shared" ref="B60:D60" si="54">(B57/B133)*100</f>
        <v>5.553047404</v>
      </c>
      <c r="C60" s="3">
        <f t="shared" si="54"/>
        <v>2.211302211</v>
      </c>
      <c r="D60" s="3">
        <f t="shared" si="54"/>
        <v>2.874432678</v>
      </c>
    </row>
    <row r="61" ht="14.25" customHeight="1">
      <c r="A61" s="1" t="s">
        <v>61</v>
      </c>
      <c r="B61" s="2">
        <v>95.0</v>
      </c>
      <c r="C61" s="2">
        <v>22.0</v>
      </c>
      <c r="D61" s="2">
        <v>34.0</v>
      </c>
      <c r="E61" s="2">
        <f t="shared" ref="E61:E62" si="56">SUM(B61:D61)</f>
        <v>151</v>
      </c>
      <c r="G61" s="2">
        <v>11.0</v>
      </c>
      <c r="H61" s="2">
        <v>2.0</v>
      </c>
      <c r="I61" s="2">
        <v>3.0</v>
      </c>
    </row>
    <row r="62" ht="14.25" customHeight="1">
      <c r="A62" s="1"/>
      <c r="B62" s="3">
        <f t="shared" ref="B62:D62" si="55">(B61/$E$133)*100</f>
        <v>2.893694791</v>
      </c>
      <c r="C62" s="3">
        <f t="shared" si="55"/>
        <v>0.6701187938</v>
      </c>
      <c r="D62" s="3">
        <f t="shared" si="55"/>
        <v>1.035638136</v>
      </c>
      <c r="E62" s="3">
        <f t="shared" si="56"/>
        <v>4.599451721</v>
      </c>
    </row>
    <row r="63" ht="14.25" customHeight="1">
      <c r="A63" s="1"/>
      <c r="B63" s="3">
        <f t="shared" ref="B63:D63" si="57">(B61/$E$61)*100</f>
        <v>62.91390728</v>
      </c>
      <c r="C63" s="3">
        <f t="shared" si="57"/>
        <v>14.56953642</v>
      </c>
      <c r="D63" s="3">
        <f t="shared" si="57"/>
        <v>22.51655629</v>
      </c>
    </row>
    <row r="64" ht="14.25" customHeight="1">
      <c r="A64" s="1"/>
      <c r="B64" s="3">
        <f t="shared" ref="B64:D64" si="58">(B61/B133)*100</f>
        <v>4.288939052</v>
      </c>
      <c r="C64" s="3">
        <f t="shared" si="58"/>
        <v>5.405405405</v>
      </c>
      <c r="D64" s="3">
        <f t="shared" si="58"/>
        <v>5.143721634</v>
      </c>
    </row>
    <row r="65" ht="14.25" customHeight="1">
      <c r="A65" s="1" t="s">
        <v>62</v>
      </c>
      <c r="B65" s="2">
        <v>101.0</v>
      </c>
      <c r="C65" s="2">
        <v>7.0</v>
      </c>
      <c r="D65" s="2">
        <v>7.0</v>
      </c>
      <c r="E65" s="2">
        <f t="shared" ref="E65:E66" si="60">SUM(B65:D65)</f>
        <v>115</v>
      </c>
      <c r="G65" s="2">
        <v>9.0</v>
      </c>
      <c r="H65" s="2">
        <v>5.0</v>
      </c>
      <c r="I65" s="2">
        <v>2.0</v>
      </c>
    </row>
    <row r="66" ht="14.25" customHeight="1">
      <c r="A66" s="1"/>
      <c r="B66" s="3">
        <f t="shared" ref="B66:D66" si="59">(B65/$E$133)*100</f>
        <v>3.076454462</v>
      </c>
      <c r="C66" s="3">
        <f t="shared" si="59"/>
        <v>0.2132196162</v>
      </c>
      <c r="D66" s="3">
        <f t="shared" si="59"/>
        <v>0.2132196162</v>
      </c>
      <c r="E66" s="3">
        <f t="shared" si="60"/>
        <v>3.502893695</v>
      </c>
    </row>
    <row r="67" ht="14.25" customHeight="1">
      <c r="A67" s="1"/>
      <c r="B67" s="3">
        <f t="shared" ref="B67:D67" si="61">(B65/$E$65)*100</f>
        <v>87.82608696</v>
      </c>
      <c r="C67" s="3">
        <f t="shared" si="61"/>
        <v>6.086956522</v>
      </c>
      <c r="D67" s="3">
        <f t="shared" si="61"/>
        <v>6.086956522</v>
      </c>
    </row>
    <row r="68" ht="14.25" customHeight="1">
      <c r="A68" s="1"/>
      <c r="B68" s="3">
        <f t="shared" ref="B68:D68" si="62">(B65/B133)*100</f>
        <v>4.559819413</v>
      </c>
      <c r="C68" s="3">
        <f t="shared" si="62"/>
        <v>1.71990172</v>
      </c>
      <c r="D68" s="3">
        <f t="shared" si="62"/>
        <v>1.059001513</v>
      </c>
    </row>
    <row r="69" ht="14.25" customHeight="1">
      <c r="A69" s="6" t="s">
        <v>63</v>
      </c>
      <c r="B69" s="2">
        <v>1.0</v>
      </c>
      <c r="C69" s="2">
        <v>10.0</v>
      </c>
      <c r="D69" s="2">
        <v>37.0</v>
      </c>
      <c r="E69" s="2">
        <f t="shared" ref="E69:E70" si="64">SUM(B69:D69)</f>
        <v>48</v>
      </c>
      <c r="G69" s="2">
        <v>0.0</v>
      </c>
      <c r="H69" s="2">
        <v>1.0</v>
      </c>
      <c r="I69" s="2">
        <v>15.0</v>
      </c>
    </row>
    <row r="70" ht="14.25" customHeight="1">
      <c r="A70" s="1"/>
      <c r="B70" s="10">
        <f t="shared" ref="B70:D70" si="63">(B69/$E$133)*100</f>
        <v>0.03045994517</v>
      </c>
      <c r="C70" s="11">
        <f t="shared" si="63"/>
        <v>0.3045994517</v>
      </c>
      <c r="D70" s="7">
        <f t="shared" si="63"/>
        <v>1.127017971</v>
      </c>
      <c r="E70" s="10">
        <f t="shared" si="64"/>
        <v>1.462077368</v>
      </c>
    </row>
    <row r="71" ht="14.25" customHeight="1">
      <c r="A71" s="1"/>
      <c r="B71" s="3">
        <f t="shared" ref="B71:D71" si="65">(B69/$E$69)*100</f>
        <v>2.083333333</v>
      </c>
      <c r="C71" s="12">
        <f t="shared" si="65"/>
        <v>20.83333333</v>
      </c>
      <c r="D71" s="3">
        <f t="shared" si="65"/>
        <v>77.08333333</v>
      </c>
    </row>
    <row r="72" ht="14.25" customHeight="1">
      <c r="A72" s="1"/>
      <c r="B72" s="13">
        <f t="shared" ref="B72:D72" si="66">(B69/B133)*100</f>
        <v>0.04514672686</v>
      </c>
      <c r="C72" s="3">
        <f t="shared" si="66"/>
        <v>2.457002457</v>
      </c>
      <c r="D72" s="2">
        <f t="shared" si="66"/>
        <v>5.597579425</v>
      </c>
    </row>
    <row r="73" ht="14.25" customHeight="1">
      <c r="A73" s="6" t="s">
        <v>64</v>
      </c>
      <c r="B73" s="2">
        <v>7.0</v>
      </c>
      <c r="C73" s="2">
        <v>18.0</v>
      </c>
      <c r="D73" s="2">
        <v>20.0</v>
      </c>
      <c r="E73" s="2">
        <f t="shared" ref="E73:E74" si="68">SUM(B73:D73)</f>
        <v>45</v>
      </c>
      <c r="G73" s="2">
        <v>1.0</v>
      </c>
      <c r="H73" s="2">
        <v>7.0</v>
      </c>
      <c r="I73" s="2">
        <v>8.0</v>
      </c>
    </row>
    <row r="74" ht="14.25" customHeight="1">
      <c r="A74" s="1"/>
      <c r="B74" s="14">
        <f t="shared" ref="B74:D74" si="67">(B73/$E$133)*100</f>
        <v>0.2132196162</v>
      </c>
      <c r="C74" s="8">
        <f t="shared" si="67"/>
        <v>0.5482790131</v>
      </c>
      <c r="D74" s="14">
        <f t="shared" si="67"/>
        <v>0.6091989034</v>
      </c>
      <c r="E74" s="7">
        <f t="shared" si="68"/>
        <v>1.370697533</v>
      </c>
    </row>
    <row r="75" ht="14.25" customHeight="1">
      <c r="A75" s="1"/>
      <c r="B75" s="3">
        <f t="shared" ref="B75:D75" si="69">(B73/$E$73)*100</f>
        <v>15.55555556</v>
      </c>
      <c r="C75" s="3">
        <f t="shared" si="69"/>
        <v>40</v>
      </c>
      <c r="D75" s="3">
        <f t="shared" si="69"/>
        <v>44.44444444</v>
      </c>
    </row>
    <row r="76" ht="14.25" customHeight="1">
      <c r="A76" s="1"/>
      <c r="B76" s="7">
        <f t="shared" ref="B76:D76" si="70">(B73/B133)*100</f>
        <v>0.316027088</v>
      </c>
      <c r="C76" s="3">
        <f t="shared" si="70"/>
        <v>4.422604423</v>
      </c>
      <c r="D76" s="3">
        <f t="shared" si="70"/>
        <v>3.025718608</v>
      </c>
    </row>
    <row r="77" ht="14.25" customHeight="1">
      <c r="A77" s="1" t="s">
        <v>65</v>
      </c>
      <c r="B77" s="2">
        <v>134.0</v>
      </c>
      <c r="C77" s="2">
        <v>7.0</v>
      </c>
      <c r="D77" s="2">
        <v>10.0</v>
      </c>
      <c r="E77" s="2">
        <f t="shared" ref="E77:E78" si="72">SUM(B77:D77)</f>
        <v>151</v>
      </c>
      <c r="G77" s="2">
        <v>15.0</v>
      </c>
      <c r="H77" s="2">
        <v>0.0</v>
      </c>
      <c r="I77" s="2">
        <v>1.0</v>
      </c>
    </row>
    <row r="78" ht="14.25" customHeight="1">
      <c r="A78" s="1"/>
      <c r="B78" s="3">
        <f t="shared" ref="B78:D78" si="71">(B77/$E$133)*100</f>
        <v>4.081632653</v>
      </c>
      <c r="C78" s="3">
        <f t="shared" si="71"/>
        <v>0.2132196162</v>
      </c>
      <c r="D78" s="3">
        <f t="shared" si="71"/>
        <v>0.3045994517</v>
      </c>
      <c r="E78" s="3">
        <f t="shared" si="72"/>
        <v>4.599451721</v>
      </c>
    </row>
    <row r="79" ht="14.25" customHeight="1">
      <c r="A79" s="1"/>
      <c r="B79" s="3">
        <f t="shared" ref="B79:D79" si="73">(B77/$E$77)*100</f>
        <v>88.74172185</v>
      </c>
      <c r="C79" s="3">
        <f t="shared" si="73"/>
        <v>4.635761589</v>
      </c>
      <c r="D79" s="3">
        <f t="shared" si="73"/>
        <v>6.622516556</v>
      </c>
    </row>
    <row r="80" ht="14.25" customHeight="1">
      <c r="A80" s="1"/>
      <c r="B80" s="3">
        <f t="shared" ref="B80:D80" si="74">(B77/B133)*100</f>
        <v>6.0496614</v>
      </c>
      <c r="C80" s="3">
        <f t="shared" si="74"/>
        <v>1.71990172</v>
      </c>
      <c r="D80" s="3">
        <f t="shared" si="74"/>
        <v>1.512859304</v>
      </c>
    </row>
    <row r="81" ht="14.25" customHeight="1">
      <c r="A81" s="1" t="s">
        <v>66</v>
      </c>
      <c r="B81" s="2">
        <v>5.0</v>
      </c>
      <c r="C81" s="2">
        <v>25.0</v>
      </c>
      <c r="D81" s="2">
        <v>50.0</v>
      </c>
      <c r="E81" s="2">
        <f t="shared" ref="E81:E82" si="76">SUM(B81:D81)</f>
        <v>80</v>
      </c>
      <c r="G81" s="2">
        <v>0.0</v>
      </c>
      <c r="H81" s="2">
        <v>3.0</v>
      </c>
      <c r="I81" s="2">
        <v>13.0</v>
      </c>
    </row>
    <row r="82" ht="14.25" customHeight="1">
      <c r="A82" s="1"/>
      <c r="B82" s="3">
        <f t="shared" ref="B82:D82" si="75">(B81/$E$133)*100</f>
        <v>0.1522997259</v>
      </c>
      <c r="C82" s="3">
        <f t="shared" si="75"/>
        <v>0.7614986293</v>
      </c>
      <c r="D82" s="3">
        <f t="shared" si="75"/>
        <v>1.522997259</v>
      </c>
      <c r="E82" s="3">
        <f t="shared" si="76"/>
        <v>2.436795614</v>
      </c>
    </row>
    <row r="83" ht="14.25" customHeight="1">
      <c r="A83" s="1"/>
      <c r="B83" s="3">
        <f t="shared" ref="B83:D83" si="77">(B81/$E$81)*100</f>
        <v>6.25</v>
      </c>
      <c r="C83" s="3">
        <f t="shared" si="77"/>
        <v>31.25</v>
      </c>
      <c r="D83" s="3">
        <f t="shared" si="77"/>
        <v>62.5</v>
      </c>
    </row>
    <row r="84" ht="14.25" customHeight="1">
      <c r="A84" s="1"/>
      <c r="B84" s="3">
        <f t="shared" ref="B84:D84" si="78">(B81/B133)*100</f>
        <v>0.2257336343</v>
      </c>
      <c r="C84" s="3">
        <f t="shared" si="78"/>
        <v>6.142506143</v>
      </c>
      <c r="D84" s="3">
        <f t="shared" si="78"/>
        <v>7.56429652</v>
      </c>
    </row>
    <row r="85" ht="14.25" customHeight="1">
      <c r="A85" s="6" t="s">
        <v>67</v>
      </c>
      <c r="B85" s="2">
        <v>19.0</v>
      </c>
      <c r="C85" s="2">
        <v>10.0</v>
      </c>
      <c r="D85" s="2">
        <v>14.0</v>
      </c>
      <c r="E85" s="2">
        <f t="shared" ref="E85:E86" si="80">SUM(B85:D85)</f>
        <v>43</v>
      </c>
      <c r="G85" s="2">
        <v>8.0</v>
      </c>
      <c r="H85" s="2">
        <v>5.0</v>
      </c>
      <c r="I85" s="2">
        <v>0.0</v>
      </c>
    </row>
    <row r="86" ht="14.25" customHeight="1">
      <c r="A86" s="1"/>
      <c r="B86" s="3">
        <f t="shared" ref="B86:D86" si="79">(B85/$E$133)*100</f>
        <v>0.5787389583</v>
      </c>
      <c r="C86" s="3">
        <f t="shared" si="79"/>
        <v>0.3045994517</v>
      </c>
      <c r="D86" s="3">
        <f t="shared" si="79"/>
        <v>0.4264392324</v>
      </c>
      <c r="E86" s="3">
        <f t="shared" si="80"/>
        <v>1.309777642</v>
      </c>
    </row>
    <row r="87" ht="14.25" customHeight="1">
      <c r="A87" s="1"/>
      <c r="B87" s="3">
        <f t="shared" ref="B87:D87" si="81">(B85/$E$85)*100</f>
        <v>44.18604651</v>
      </c>
      <c r="C87" s="3">
        <f t="shared" si="81"/>
        <v>23.25581395</v>
      </c>
      <c r="D87" s="3">
        <f t="shared" si="81"/>
        <v>32.55813953</v>
      </c>
    </row>
    <row r="88" ht="14.25" customHeight="1">
      <c r="A88" s="1"/>
      <c r="B88" s="3">
        <f t="shared" ref="B88:D88" si="82">(B85/B133)*100</f>
        <v>0.8577878104</v>
      </c>
      <c r="C88" s="3">
        <f t="shared" si="82"/>
        <v>2.457002457</v>
      </c>
      <c r="D88" s="3">
        <f t="shared" si="82"/>
        <v>2.118003026</v>
      </c>
    </row>
    <row r="89" ht="14.25" customHeight="1">
      <c r="A89" s="1" t="s">
        <v>68</v>
      </c>
      <c r="B89" s="2">
        <v>1.0</v>
      </c>
      <c r="C89" s="2">
        <v>7.0</v>
      </c>
      <c r="D89" s="2">
        <v>72.0</v>
      </c>
      <c r="E89" s="2">
        <f t="shared" ref="E89:E90" si="84">SUM(B89:D89)</f>
        <v>80</v>
      </c>
      <c r="G89" s="2">
        <v>0.0</v>
      </c>
      <c r="H89" s="2">
        <v>0.0</v>
      </c>
      <c r="I89" s="2">
        <v>16.0</v>
      </c>
    </row>
    <row r="90" ht="14.25" customHeight="1">
      <c r="A90" s="1"/>
      <c r="B90" s="3">
        <f t="shared" ref="B90:D90" si="83">(B89/$E$133)*100</f>
        <v>0.03045994517</v>
      </c>
      <c r="C90" s="3">
        <f t="shared" si="83"/>
        <v>0.2132196162</v>
      </c>
      <c r="D90" s="3">
        <f t="shared" si="83"/>
        <v>2.193116052</v>
      </c>
      <c r="E90" s="3">
        <f t="shared" si="84"/>
        <v>2.436795614</v>
      </c>
    </row>
    <row r="91" ht="14.25" customHeight="1">
      <c r="A91" s="1"/>
      <c r="B91" s="3">
        <f t="shared" ref="B91:D91" si="85">(B89/$E$89)*100</f>
        <v>1.25</v>
      </c>
      <c r="C91" s="3">
        <f t="shared" si="85"/>
        <v>8.75</v>
      </c>
      <c r="D91" s="3">
        <f t="shared" si="85"/>
        <v>90</v>
      </c>
    </row>
    <row r="92" ht="14.25" customHeight="1">
      <c r="A92" s="1"/>
      <c r="B92" s="3">
        <f t="shared" ref="B92:D92" si="86">(B89/B133)*100</f>
        <v>0.04514672686</v>
      </c>
      <c r="C92" s="3">
        <f t="shared" si="86"/>
        <v>1.71990172</v>
      </c>
      <c r="D92" s="3">
        <f t="shared" si="86"/>
        <v>10.89258699</v>
      </c>
    </row>
    <row r="93" ht="14.25" customHeight="1">
      <c r="A93" s="1" t="s">
        <v>69</v>
      </c>
      <c r="B93" s="2">
        <v>116.0</v>
      </c>
      <c r="C93" s="2">
        <v>21.0</v>
      </c>
      <c r="D93" s="2">
        <v>12.0</v>
      </c>
      <c r="E93" s="2">
        <f t="shared" ref="E93:E94" si="88">SUM(B93:D93)</f>
        <v>149</v>
      </c>
    </row>
    <row r="94" ht="14.25" customHeight="1">
      <c r="A94" s="1"/>
      <c r="B94" s="3">
        <f t="shared" ref="B94:D94" si="87">(B93/$E$133)*100</f>
        <v>3.53335364</v>
      </c>
      <c r="C94" s="3">
        <f t="shared" si="87"/>
        <v>0.6396588486</v>
      </c>
      <c r="D94" s="3">
        <f t="shared" si="87"/>
        <v>0.3655193421</v>
      </c>
      <c r="E94" s="3">
        <f t="shared" si="88"/>
        <v>4.538531831</v>
      </c>
      <c r="G94" s="2">
        <v>8.0</v>
      </c>
      <c r="H94" s="2">
        <v>5.0</v>
      </c>
      <c r="I94" s="2">
        <v>3.0</v>
      </c>
    </row>
    <row r="95" ht="14.25" customHeight="1">
      <c r="A95" s="1"/>
      <c r="B95" s="3">
        <f t="shared" ref="B95:D95" si="89">(B93/$E$93)*100</f>
        <v>77.85234899</v>
      </c>
      <c r="C95" s="3">
        <f t="shared" si="89"/>
        <v>14.09395973</v>
      </c>
      <c r="D95" s="3">
        <f t="shared" si="89"/>
        <v>8.053691275</v>
      </c>
    </row>
    <row r="96" ht="14.25" customHeight="1">
      <c r="A96" s="1"/>
      <c r="B96" s="3">
        <f t="shared" ref="B96:D96" si="90">(B93/B133)*100</f>
        <v>5.237020316</v>
      </c>
      <c r="C96" s="3">
        <f t="shared" si="90"/>
        <v>5.15970516</v>
      </c>
      <c r="D96" s="3">
        <f t="shared" si="90"/>
        <v>1.815431165</v>
      </c>
    </row>
    <row r="97" ht="14.25" customHeight="1">
      <c r="A97" s="1" t="s">
        <v>70</v>
      </c>
      <c r="B97" s="2">
        <v>30.0</v>
      </c>
      <c r="C97" s="2">
        <v>19.0</v>
      </c>
      <c r="D97" s="2">
        <v>15.0</v>
      </c>
      <c r="E97" s="2">
        <f t="shared" ref="E97:E98" si="92">SUM(B97:D97)</f>
        <v>64</v>
      </c>
      <c r="G97" s="2">
        <v>8.0</v>
      </c>
      <c r="H97" s="2">
        <v>5.0</v>
      </c>
      <c r="I97" s="2">
        <v>3.0</v>
      </c>
    </row>
    <row r="98" ht="14.25" customHeight="1">
      <c r="A98" s="1"/>
      <c r="B98" s="3">
        <f t="shared" ref="B98:D98" si="91">(B97/$E$133)*100</f>
        <v>0.9137983552</v>
      </c>
      <c r="C98" s="3">
        <f t="shared" si="91"/>
        <v>0.5787389583</v>
      </c>
      <c r="D98" s="3">
        <f t="shared" si="91"/>
        <v>0.4568991776</v>
      </c>
      <c r="E98" s="3">
        <f t="shared" si="92"/>
        <v>1.949436491</v>
      </c>
    </row>
    <row r="99" ht="14.25" customHeight="1">
      <c r="A99" s="1"/>
      <c r="B99" s="3">
        <f t="shared" ref="B99:D99" si="93">(B97/$E$97)*100</f>
        <v>46.875</v>
      </c>
      <c r="C99" s="3">
        <f t="shared" si="93"/>
        <v>29.6875</v>
      </c>
      <c r="D99" s="3">
        <f t="shared" si="93"/>
        <v>23.4375</v>
      </c>
    </row>
    <row r="100" ht="14.25" customHeight="1">
      <c r="A100" s="1"/>
      <c r="B100" s="3">
        <f t="shared" ref="B100:D100" si="94">(B97/B133)*100</f>
        <v>1.354401806</v>
      </c>
      <c r="C100" s="3">
        <f t="shared" si="94"/>
        <v>4.668304668</v>
      </c>
      <c r="D100" s="3">
        <f t="shared" si="94"/>
        <v>2.269288956</v>
      </c>
    </row>
    <row r="101" ht="14.25" customHeight="1">
      <c r="A101" s="1" t="s">
        <v>71</v>
      </c>
      <c r="B101" s="2">
        <v>137.0</v>
      </c>
      <c r="C101" s="2">
        <v>4.0</v>
      </c>
      <c r="D101" s="2">
        <v>10.0</v>
      </c>
      <c r="E101" s="2">
        <f t="shared" ref="E101:E102" si="96">SUM(B101:D101)</f>
        <v>151</v>
      </c>
      <c r="G101" s="2">
        <v>14.0</v>
      </c>
      <c r="H101" s="2">
        <v>0.0</v>
      </c>
      <c r="I101" s="2">
        <v>2.0</v>
      </c>
    </row>
    <row r="102" ht="14.25" customHeight="1">
      <c r="A102" s="1"/>
      <c r="B102" s="3">
        <f t="shared" ref="B102:D102" si="95">(B101/$E$133)*100</f>
        <v>4.173012489</v>
      </c>
      <c r="C102" s="3">
        <f t="shared" si="95"/>
        <v>0.1218397807</v>
      </c>
      <c r="D102" s="3">
        <f t="shared" si="95"/>
        <v>0.3045994517</v>
      </c>
      <c r="E102" s="3">
        <f t="shared" si="96"/>
        <v>4.599451721</v>
      </c>
    </row>
    <row r="103" ht="14.25" customHeight="1">
      <c r="A103" s="1"/>
      <c r="B103" s="3">
        <f t="shared" ref="B103:D103" si="97">(B101/$E$101)*100</f>
        <v>90.72847682</v>
      </c>
      <c r="C103" s="3">
        <f t="shared" si="97"/>
        <v>2.649006623</v>
      </c>
      <c r="D103" s="3">
        <f t="shared" si="97"/>
        <v>6.622516556</v>
      </c>
    </row>
    <row r="104" ht="14.25" customHeight="1">
      <c r="A104" s="1"/>
      <c r="B104" s="3">
        <f t="shared" ref="B104:D104" si="98">(B101/B133)*100</f>
        <v>6.18510158</v>
      </c>
      <c r="C104" s="3">
        <f t="shared" si="98"/>
        <v>0.9828009828</v>
      </c>
      <c r="D104" s="3">
        <f t="shared" si="98"/>
        <v>1.512859304</v>
      </c>
    </row>
    <row r="105" ht="14.25" customHeight="1">
      <c r="A105" s="1" t="s">
        <v>72</v>
      </c>
      <c r="B105" s="2">
        <v>120.0</v>
      </c>
      <c r="C105" s="2">
        <v>28.0</v>
      </c>
      <c r="D105" s="2">
        <v>23.0</v>
      </c>
      <c r="E105" s="2">
        <f t="shared" ref="E105:E106" si="100">SUM(B105:D105)</f>
        <v>171</v>
      </c>
      <c r="G105" s="2">
        <v>5.0</v>
      </c>
      <c r="H105" s="2">
        <v>7.0</v>
      </c>
      <c r="I105" s="2">
        <v>4.0</v>
      </c>
    </row>
    <row r="106" ht="14.25" customHeight="1">
      <c r="A106" s="1"/>
      <c r="B106" s="3">
        <f t="shared" ref="B106:D106" si="99">(B105/$E$133)*100</f>
        <v>3.655193421</v>
      </c>
      <c r="C106" s="3">
        <f t="shared" si="99"/>
        <v>0.8528784648</v>
      </c>
      <c r="D106" s="3">
        <f t="shared" si="99"/>
        <v>0.700578739</v>
      </c>
      <c r="E106" s="3">
        <f t="shared" si="100"/>
        <v>5.208650624</v>
      </c>
    </row>
    <row r="107" ht="14.25" customHeight="1">
      <c r="A107" s="1"/>
      <c r="B107" s="3">
        <f t="shared" ref="B107:D107" si="101">(B105/$E$105)*100</f>
        <v>70.1754386</v>
      </c>
      <c r="C107" s="3">
        <f t="shared" si="101"/>
        <v>16.37426901</v>
      </c>
      <c r="D107" s="3">
        <f t="shared" si="101"/>
        <v>13.4502924</v>
      </c>
    </row>
    <row r="108" ht="14.25" customHeight="1">
      <c r="A108" s="1"/>
      <c r="B108" s="3">
        <f t="shared" ref="B108:D108" si="102">(B105/B133)*100</f>
        <v>5.417607223</v>
      </c>
      <c r="C108" s="3">
        <f t="shared" si="102"/>
        <v>6.87960688</v>
      </c>
      <c r="D108" s="3">
        <f t="shared" si="102"/>
        <v>3.479576399</v>
      </c>
    </row>
    <row r="109" ht="14.25" customHeight="1">
      <c r="A109" s="1" t="s">
        <v>73</v>
      </c>
      <c r="B109" s="2">
        <v>145.0</v>
      </c>
      <c r="C109" s="2">
        <v>9.0</v>
      </c>
      <c r="D109" s="2">
        <v>16.0</v>
      </c>
      <c r="E109" s="2">
        <f t="shared" ref="E109:E110" si="104">SUM(B109:D109)</f>
        <v>170</v>
      </c>
      <c r="G109" s="2">
        <v>13.0</v>
      </c>
      <c r="H109" s="2">
        <v>0.0</v>
      </c>
      <c r="I109" s="2">
        <v>3.0</v>
      </c>
    </row>
    <row r="110" ht="14.25" customHeight="1">
      <c r="A110" s="1"/>
      <c r="B110" s="3">
        <f t="shared" ref="B110:D110" si="103">(B109/$E$133)*100</f>
        <v>4.41669205</v>
      </c>
      <c r="C110" s="3">
        <f t="shared" si="103"/>
        <v>0.2741395065</v>
      </c>
      <c r="D110" s="3">
        <f t="shared" si="103"/>
        <v>0.4873591228</v>
      </c>
      <c r="E110" s="3">
        <f t="shared" si="104"/>
        <v>5.178190679</v>
      </c>
    </row>
    <row r="111" ht="14.25" customHeight="1">
      <c r="A111" s="1"/>
      <c r="B111" s="3">
        <f t="shared" ref="B111:D111" si="105">(B109/$E$109)*100</f>
        <v>85.29411765</v>
      </c>
      <c r="C111" s="3">
        <f t="shared" si="105"/>
        <v>5.294117647</v>
      </c>
      <c r="D111" s="3">
        <f t="shared" si="105"/>
        <v>9.411764706</v>
      </c>
    </row>
    <row r="112" ht="14.25" customHeight="1">
      <c r="A112" s="1"/>
      <c r="B112" s="3">
        <f t="shared" ref="B112:D112" si="106">(B109/B133)*100</f>
        <v>6.546275395</v>
      </c>
      <c r="C112" s="3">
        <f t="shared" si="106"/>
        <v>2.211302211</v>
      </c>
      <c r="D112" s="3">
        <f t="shared" si="106"/>
        <v>2.420574887</v>
      </c>
    </row>
    <row r="113" ht="14.25" customHeight="1">
      <c r="A113" s="1" t="s">
        <v>78</v>
      </c>
      <c r="B113" s="2">
        <v>47.0</v>
      </c>
      <c r="C113" s="2">
        <v>13.0</v>
      </c>
      <c r="D113" s="2">
        <v>6.0</v>
      </c>
      <c r="E113" s="2">
        <f t="shared" ref="E113:E114" si="108">SUM(B113:D113)</f>
        <v>66</v>
      </c>
      <c r="G113" s="2">
        <v>10.0</v>
      </c>
      <c r="H113" s="2">
        <v>6.0</v>
      </c>
      <c r="I113" s="2">
        <v>0.0</v>
      </c>
    </row>
    <row r="114" ht="14.25" customHeight="1">
      <c r="A114" s="1"/>
      <c r="B114" s="3">
        <f t="shared" ref="B114:D114" si="107">(B113/$E$133)*100</f>
        <v>1.431617423</v>
      </c>
      <c r="C114" s="3">
        <f t="shared" si="107"/>
        <v>0.3959792872</v>
      </c>
      <c r="D114" s="3">
        <f t="shared" si="107"/>
        <v>0.182759671</v>
      </c>
      <c r="E114" s="3">
        <f t="shared" si="108"/>
        <v>2.010356381</v>
      </c>
    </row>
    <row r="115" ht="14.25" customHeight="1">
      <c r="A115" s="1"/>
      <c r="B115" s="2">
        <f t="shared" ref="B115:D115" si="109">(B113/$E$113)*100</f>
        <v>71.21212121</v>
      </c>
      <c r="C115" s="3">
        <f t="shared" si="109"/>
        <v>19.6969697</v>
      </c>
      <c r="D115" s="3">
        <f t="shared" si="109"/>
        <v>9.090909091</v>
      </c>
    </row>
    <row r="116" ht="14.25" customHeight="1">
      <c r="A116" s="1"/>
      <c r="B116" s="3">
        <f t="shared" ref="B116:D116" si="110">(B113/B133)*100</f>
        <v>2.121896163</v>
      </c>
      <c r="C116" s="3">
        <f t="shared" si="110"/>
        <v>3.194103194</v>
      </c>
      <c r="D116" s="3">
        <f t="shared" si="110"/>
        <v>0.9077155825</v>
      </c>
    </row>
    <row r="117" ht="14.25" customHeight="1">
      <c r="A117" s="1" t="s">
        <v>75</v>
      </c>
      <c r="B117" s="2">
        <v>98.0</v>
      </c>
      <c r="C117" s="2">
        <v>6.0</v>
      </c>
      <c r="D117" s="2">
        <v>11.0</v>
      </c>
      <c r="E117" s="2">
        <f t="shared" ref="E117:E118" si="112">SUM(B117:D117)</f>
        <v>115</v>
      </c>
      <c r="G117" s="2">
        <v>14.0</v>
      </c>
      <c r="H117" s="2">
        <v>1.0</v>
      </c>
      <c r="I117" s="2">
        <v>1.0</v>
      </c>
    </row>
    <row r="118" ht="14.25" customHeight="1">
      <c r="A118" s="1"/>
      <c r="B118" s="3">
        <f t="shared" ref="B118:D118" si="111">(B117/$E$133)*100</f>
        <v>2.985074627</v>
      </c>
      <c r="C118" s="3">
        <f t="shared" si="111"/>
        <v>0.182759671</v>
      </c>
      <c r="D118" s="3">
        <f t="shared" si="111"/>
        <v>0.3350593969</v>
      </c>
      <c r="E118" s="3">
        <f t="shared" si="112"/>
        <v>3.502893695</v>
      </c>
    </row>
    <row r="119" ht="14.25" customHeight="1">
      <c r="A119" s="1"/>
      <c r="B119" s="3">
        <f t="shared" ref="B119:D119" si="113">(B117/$E$117)*100</f>
        <v>85.2173913</v>
      </c>
      <c r="C119" s="3">
        <f t="shared" si="113"/>
        <v>5.217391304</v>
      </c>
      <c r="D119" s="3">
        <f t="shared" si="113"/>
        <v>9.565217391</v>
      </c>
    </row>
    <row r="120" ht="14.25" customHeight="1">
      <c r="A120" s="1"/>
      <c r="B120" s="3">
        <f t="shared" ref="B120:D120" si="114">(B117/B133)*100</f>
        <v>4.424379233</v>
      </c>
      <c r="C120" s="3">
        <f t="shared" si="114"/>
        <v>1.474201474</v>
      </c>
      <c r="D120" s="3">
        <f t="shared" si="114"/>
        <v>1.664145234</v>
      </c>
    </row>
    <row r="121" ht="14.25" customHeight="1">
      <c r="A121" s="1" t="s">
        <v>79</v>
      </c>
      <c r="B121" s="2">
        <v>19.0</v>
      </c>
      <c r="C121" s="2">
        <v>0.0</v>
      </c>
      <c r="D121" s="2">
        <v>0.0</v>
      </c>
      <c r="E121" s="2">
        <f t="shared" ref="E121:E122" si="116">SUM(B121:D121)</f>
        <v>19</v>
      </c>
    </row>
    <row r="122" ht="14.25" customHeight="1">
      <c r="A122" s="1"/>
      <c r="B122" s="3">
        <f t="shared" ref="B122:D122" si="115">(B121/$E$133)*100</f>
        <v>0.5787389583</v>
      </c>
      <c r="C122" s="16">
        <f t="shared" si="115"/>
        <v>0</v>
      </c>
      <c r="D122" s="16">
        <f t="shared" si="115"/>
        <v>0</v>
      </c>
      <c r="E122" s="3">
        <f t="shared" si="116"/>
        <v>0.5787389583</v>
      </c>
    </row>
    <row r="123" ht="14.25" customHeight="1">
      <c r="A123" s="1"/>
      <c r="B123" s="2">
        <v>100.0</v>
      </c>
      <c r="C123" s="2">
        <v>0.0</v>
      </c>
      <c r="D123" s="2">
        <v>0.0</v>
      </c>
    </row>
    <row r="124" ht="14.25" customHeight="1">
      <c r="A124" s="1"/>
      <c r="B124" s="3">
        <f>(B121/B133)*100</f>
        <v>0.8577878104</v>
      </c>
      <c r="C124" s="2">
        <v>0.0</v>
      </c>
      <c r="D124" s="2">
        <v>0.0</v>
      </c>
    </row>
    <row r="125" ht="14.25" customHeight="1">
      <c r="A125" s="6" t="s">
        <v>76</v>
      </c>
      <c r="B125" s="2">
        <v>27.0</v>
      </c>
      <c r="C125" s="2">
        <v>7.0</v>
      </c>
      <c r="D125" s="2">
        <v>10.0</v>
      </c>
      <c r="E125" s="2">
        <f t="shared" ref="E125:E126" si="118">SUM(B125:D125)</f>
        <v>44</v>
      </c>
      <c r="G125" s="2">
        <v>12.0</v>
      </c>
      <c r="H125" s="2">
        <v>1.0</v>
      </c>
      <c r="I125" s="2">
        <v>3.0</v>
      </c>
    </row>
    <row r="126" ht="14.25" customHeight="1">
      <c r="A126" s="1"/>
      <c r="B126" s="3">
        <f t="shared" ref="B126:D126" si="117">(B125/$E$133)*100</f>
        <v>0.8224185196</v>
      </c>
      <c r="C126" s="3">
        <f t="shared" si="117"/>
        <v>0.2132196162</v>
      </c>
      <c r="D126" s="3">
        <f t="shared" si="117"/>
        <v>0.3045994517</v>
      </c>
      <c r="E126" s="3">
        <f t="shared" si="118"/>
        <v>1.340237588</v>
      </c>
    </row>
    <row r="127" ht="14.25" customHeight="1">
      <c r="A127" s="1"/>
      <c r="B127" s="3">
        <f t="shared" ref="B127:D127" si="119">(B125/$E$125)*100</f>
        <v>61.36363636</v>
      </c>
      <c r="C127" s="3">
        <f t="shared" si="119"/>
        <v>15.90909091</v>
      </c>
      <c r="D127" s="3">
        <f t="shared" si="119"/>
        <v>22.72727273</v>
      </c>
      <c r="E127" s="3"/>
    </row>
    <row r="128" ht="14.25" customHeight="1">
      <c r="A128" s="1"/>
      <c r="B128" s="3">
        <f t="shared" ref="B128:D128" si="120">(B125/B133)*100</f>
        <v>1.218961625</v>
      </c>
      <c r="C128" s="3">
        <f t="shared" si="120"/>
        <v>1.71990172</v>
      </c>
      <c r="D128" s="3">
        <f t="shared" si="120"/>
        <v>1.512859304</v>
      </c>
      <c r="E128" s="3"/>
    </row>
    <row r="129" ht="14.25" customHeight="1">
      <c r="A129" s="1" t="s">
        <v>80</v>
      </c>
      <c r="B129" s="2">
        <v>1.0</v>
      </c>
      <c r="C129" s="2">
        <v>0.0</v>
      </c>
      <c r="D129" s="2">
        <v>0.0</v>
      </c>
      <c r="E129" s="2">
        <f t="shared" ref="E129:E130" si="122">SUM(B129:D129)</f>
        <v>1</v>
      </c>
    </row>
    <row r="130" ht="14.25" customHeight="1">
      <c r="A130" s="1"/>
      <c r="B130" s="3">
        <f t="shared" ref="B130:D130" si="121">(B129/$E$133)*100</f>
        <v>0.03045994517</v>
      </c>
      <c r="C130" s="2">
        <f t="shared" si="121"/>
        <v>0</v>
      </c>
      <c r="D130" s="2">
        <f t="shared" si="121"/>
        <v>0</v>
      </c>
      <c r="E130" s="3">
        <f t="shared" si="122"/>
        <v>0.03045994517</v>
      </c>
    </row>
    <row r="131" ht="14.25" customHeight="1">
      <c r="A131" s="1"/>
      <c r="B131" s="2">
        <v>100.0</v>
      </c>
      <c r="C131" s="2">
        <v>0.0</v>
      </c>
      <c r="D131" s="2">
        <v>0.0</v>
      </c>
    </row>
    <row r="132" ht="14.25" customHeight="1">
      <c r="A132" s="1"/>
      <c r="B132" s="3">
        <f>(B129/B133)*100</f>
        <v>0.04514672686</v>
      </c>
      <c r="C132" s="2">
        <v>0.0</v>
      </c>
      <c r="D132" s="2">
        <v>0.0</v>
      </c>
    </row>
    <row r="133" ht="14.25" customHeight="1">
      <c r="A133" s="1" t="s">
        <v>44</v>
      </c>
      <c r="B133" s="2">
        <f>sum(B4,B8,B12,B20,B16,B24,B28,B32,B36,B40,B44,B48,B52,B57,B61,B65,B69,B73,B77,B81,B85,B89,B93,B97,B101,B105,B109,B113,B117,B121,B125,B129)</f>
        <v>2215</v>
      </c>
      <c r="C133" s="2">
        <f t="shared" ref="C133:D133" si="123">sum(C4,C8,C12,C16,C20,C24,C28,C32,C36,C40,C44,C48,C52,C57,C61,C65,C69,C73,C77,C81,C85,C89,C93,C97,C101,C105,C109,C113,C117,C121,C125,C129)</f>
        <v>407</v>
      </c>
      <c r="D133" s="2">
        <f t="shared" si="123"/>
        <v>661</v>
      </c>
      <c r="E133" s="2">
        <f t="shared" ref="E133:E134" si="125">SUM(B133:D133)</f>
        <v>3283</v>
      </c>
      <c r="G133" s="2">
        <f>sum(G8,G4,G12,G16,G20,G24,G28,G36,G40,G44,G48,G52,G57,G61,G65,G69,G73,G77,G81,G85,G89,G94,G97,G101,G105,G109,G113,G117)</f>
        <v>245</v>
      </c>
      <c r="H133" s="2">
        <f>sum(H4,H8,H12,H16,H20,H24,H28,H36,H40,H44,H48,H52,H57,H61,H65,H69,H73,H77,H81,H94,H89,H85,H97,H101,H105,H109,H113,H117,H125)</f>
        <v>74</v>
      </c>
      <c r="I133" s="2">
        <f>sum(I4,I8,I12,I16,I20,I24,I28,I36,I40,I44,I48,I52,I57,I61,I65,I69,I73,I77,I81,I85,I89,I94,I97,I105,I101,I109,I113,I117,I125)</f>
        <v>123</v>
      </c>
    </row>
    <row r="134" ht="14.25" customHeight="1">
      <c r="A134" s="1"/>
      <c r="B134" s="3">
        <f>SUM(B5,B9,B13,B17,B21,B29,B25,B33,B37,B41,B45,B49,B53,B58,B62,B66,B70,B74,B78,B82,B86,B90,B94,B98,B102,B106,B110,B114,B118,B122,B126,B130)</f>
        <v>67.46877856</v>
      </c>
      <c r="C134" s="3">
        <f t="shared" ref="C134:D134" si="124">sum(C5,C9,C13,C17,C21,C25,C29,C33,C37,C41,C45,C49,C53,C58,C62,C66,C70,C74,C78,C82,C86,C90,C94,C98,C102,C106,C110,C114,C118,C122,C126,C130)</f>
        <v>12.39719769</v>
      </c>
      <c r="D134" s="3">
        <f t="shared" si="124"/>
        <v>20.13402376</v>
      </c>
      <c r="E134" s="3">
        <f t="shared" si="125"/>
        <v>100</v>
      </c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  <row r="1002" ht="14.25" customHeight="1">
      <c r="A1002" s="1"/>
    </row>
    <row r="1003" ht="14.25" customHeight="1">
      <c r="A1003" s="1"/>
    </row>
    <row r="1004" ht="14.25" customHeight="1">
      <c r="A1004" s="1"/>
    </row>
    <row r="1005" ht="14.25" customHeight="1">
      <c r="A1005" s="1"/>
    </row>
    <row r="1006" ht="14.25" customHeight="1">
      <c r="A1006" s="1"/>
    </row>
    <row r="1007" ht="14.25" customHeight="1">
      <c r="A1007" s="1"/>
    </row>
    <row r="1008" ht="14.25" customHeight="1">
      <c r="A1008" s="1"/>
    </row>
    <row r="1009" ht="14.25" customHeight="1">
      <c r="A1009" s="1"/>
    </row>
    <row r="1010" ht="14.25" customHeight="1">
      <c r="A1010" s="1"/>
    </row>
    <row r="1011" ht="14.25" customHeight="1">
      <c r="A1011" s="1"/>
    </row>
    <row r="1012" ht="14.25" customHeight="1">
      <c r="A1012" s="1"/>
    </row>
    <row r="1013" ht="14.25" customHeight="1">
      <c r="A1013" s="1"/>
    </row>
    <row r="1014" ht="14.25" customHeight="1">
      <c r="A1014" s="1"/>
    </row>
    <row r="1015" ht="14.25" customHeight="1">
      <c r="A1015" s="1"/>
    </row>
    <row r="1016" ht="14.25" customHeight="1">
      <c r="A1016" s="1"/>
    </row>
    <row r="1017" ht="14.25" customHeight="1">
      <c r="A1017" s="1"/>
    </row>
    <row r="1018" ht="14.25" customHeight="1">
      <c r="A1018" s="1"/>
    </row>
    <row r="1019" ht="14.25" customHeight="1">
      <c r="A1019" s="1"/>
    </row>
    <row r="1020" ht="14.25" customHeight="1">
      <c r="A1020" s="1"/>
    </row>
    <row r="1021" ht="14.25" customHeight="1">
      <c r="A1021" s="1"/>
    </row>
    <row r="1022" ht="14.25" customHeight="1">
      <c r="A1022" s="1"/>
    </row>
    <row r="1023" ht="14.25" customHeight="1">
      <c r="A1023" s="1"/>
    </row>
    <row r="1024" ht="14.25" customHeight="1">
      <c r="A1024" s="1"/>
    </row>
    <row r="1025" ht="14.25" customHeight="1">
      <c r="A1025" s="1"/>
    </row>
    <row r="1026" ht="14.25" customHeight="1">
      <c r="A1026" s="1"/>
    </row>
    <row r="1027" ht="14.25" customHeight="1">
      <c r="A1027" s="1"/>
    </row>
    <row r="1028" ht="14.25" customHeight="1">
      <c r="A1028" s="1"/>
    </row>
    <row r="1029" ht="14.25" customHeight="1">
      <c r="A1029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14"/>
    <col customWidth="1" min="2" max="2" width="15.43"/>
    <col customWidth="1" min="3" max="3" width="13.29"/>
    <col customWidth="1" min="4" max="6" width="8.71"/>
    <col customWidth="1" min="7" max="7" width="13.14"/>
    <col customWidth="1" min="8" max="9" width="8.71"/>
    <col customWidth="1" min="10" max="10" width="29.57"/>
    <col customWidth="1" min="11" max="26" width="8.71"/>
  </cols>
  <sheetData>
    <row r="1" ht="14.25" customHeight="1">
      <c r="A1" s="1" t="s">
        <v>14</v>
      </c>
    </row>
    <row r="2" ht="14.25" customHeight="1">
      <c r="A2" s="1" t="s">
        <v>15</v>
      </c>
      <c r="B2" s="1" t="s">
        <v>0</v>
      </c>
      <c r="C2" s="1"/>
      <c r="D2" s="1"/>
      <c r="E2" s="1"/>
    </row>
    <row r="3" ht="14.25" customHeight="1">
      <c r="A3" s="1"/>
      <c r="B3" s="1" t="s">
        <v>1</v>
      </c>
      <c r="C3" s="1" t="s">
        <v>2</v>
      </c>
      <c r="D3" s="1" t="s">
        <v>3</v>
      </c>
      <c r="E3" s="1" t="s">
        <v>4</v>
      </c>
      <c r="G3" s="5">
        <v>2025.0</v>
      </c>
    </row>
    <row r="4" ht="14.25" customHeight="1">
      <c r="A4" s="4" t="s">
        <v>46</v>
      </c>
      <c r="B4" s="2">
        <f>sum(130,G4)</f>
        <v>140</v>
      </c>
      <c r="C4" s="2">
        <f>sum(18,H4)</f>
        <v>19</v>
      </c>
      <c r="D4" s="2">
        <f>sum(24,I4)</f>
        <v>29</v>
      </c>
      <c r="E4" s="2">
        <f t="shared" ref="E4:E5" si="2">SUM(B4:D4)</f>
        <v>188</v>
      </c>
      <c r="G4" s="2">
        <v>10.0</v>
      </c>
      <c r="H4" s="2">
        <v>1.0</v>
      </c>
      <c r="I4" s="2">
        <v>5.0</v>
      </c>
      <c r="J4" s="2" t="s">
        <v>16</v>
      </c>
    </row>
    <row r="5" ht="14.25" customHeight="1">
      <c r="A5" s="1"/>
      <c r="B5" s="3">
        <f t="shared" ref="B5:D5" si="1">(B4/$E$141)*100</f>
        <v>3.698811096</v>
      </c>
      <c r="C5" s="3">
        <f t="shared" si="1"/>
        <v>0.5019815059</v>
      </c>
      <c r="D5" s="3">
        <f t="shared" si="1"/>
        <v>0.7661822985</v>
      </c>
      <c r="E5" s="3">
        <f t="shared" si="2"/>
        <v>4.966974901</v>
      </c>
      <c r="J5" s="2" t="s">
        <v>17</v>
      </c>
    </row>
    <row r="6" ht="14.25" customHeight="1">
      <c r="A6" s="1"/>
      <c r="B6" s="2">
        <f t="shared" ref="B6:D6" si="3">(B4/$E$4)*100</f>
        <v>74.46808511</v>
      </c>
      <c r="C6" s="3">
        <f t="shared" si="3"/>
        <v>10.10638298</v>
      </c>
      <c r="D6" s="3">
        <f t="shared" si="3"/>
        <v>15.42553191</v>
      </c>
      <c r="J6" s="2" t="s">
        <v>18</v>
      </c>
    </row>
    <row r="7" ht="14.25" customHeight="1">
      <c r="A7" s="1"/>
      <c r="B7" s="3">
        <f t="shared" ref="B7:D7" si="4">(B4/B141)*100</f>
        <v>5.702647658</v>
      </c>
      <c r="C7" s="3">
        <f t="shared" si="4"/>
        <v>3.87755102</v>
      </c>
      <c r="D7" s="3">
        <f t="shared" si="4"/>
        <v>3.452380952</v>
      </c>
      <c r="J7" s="2" t="s">
        <v>19</v>
      </c>
    </row>
    <row r="8" ht="14.25" customHeight="1">
      <c r="A8" s="1" t="s">
        <v>47</v>
      </c>
      <c r="B8" s="2">
        <f>sum(G8,93)</f>
        <v>101</v>
      </c>
      <c r="C8" s="2">
        <f>sum(H8,34)</f>
        <v>37</v>
      </c>
      <c r="D8" s="2">
        <f>sum(I8,44)</f>
        <v>49</v>
      </c>
      <c r="E8" s="2">
        <f t="shared" ref="E8:E9" si="6">SUM(B8:D8)</f>
        <v>187</v>
      </c>
      <c r="G8" s="2">
        <v>8.0</v>
      </c>
      <c r="H8" s="2">
        <v>3.0</v>
      </c>
      <c r="I8" s="2">
        <v>5.0</v>
      </c>
    </row>
    <row r="9" ht="14.25" customHeight="1">
      <c r="A9" s="1"/>
      <c r="B9" s="3">
        <f t="shared" ref="B9:D9" si="5">(B8/$E$141)*100</f>
        <v>2.668428005</v>
      </c>
      <c r="C9" s="3">
        <f t="shared" si="5"/>
        <v>0.9775429326</v>
      </c>
      <c r="D9" s="3">
        <f t="shared" si="5"/>
        <v>1.294583884</v>
      </c>
      <c r="E9" s="3">
        <f t="shared" si="6"/>
        <v>4.940554822</v>
      </c>
    </row>
    <row r="10" ht="14.25" customHeight="1">
      <c r="A10" s="1"/>
      <c r="B10" s="3">
        <f t="shared" ref="B10:D10" si="7">(B8/$E$8)*100</f>
        <v>54.01069519</v>
      </c>
      <c r="C10" s="3">
        <f t="shared" si="7"/>
        <v>19.78609626</v>
      </c>
      <c r="D10" s="3">
        <f t="shared" si="7"/>
        <v>26.20320856</v>
      </c>
    </row>
    <row r="11" ht="14.25" customHeight="1">
      <c r="A11" s="1"/>
      <c r="B11" s="3">
        <f t="shared" ref="B11:D11" si="8">(B8/B141)*100</f>
        <v>4.114052953</v>
      </c>
      <c r="C11" s="3">
        <f t="shared" si="8"/>
        <v>7.551020408</v>
      </c>
      <c r="D11" s="3">
        <f t="shared" si="8"/>
        <v>5.833333333</v>
      </c>
    </row>
    <row r="12" ht="14.25" customHeight="1">
      <c r="A12" s="1" t="s">
        <v>48</v>
      </c>
      <c r="B12" s="2">
        <f>sum(G12,97)</f>
        <v>101</v>
      </c>
      <c r="C12" s="2">
        <f>sum(H12,32)</f>
        <v>35</v>
      </c>
      <c r="D12" s="2">
        <f>sum(41,I12)</f>
        <v>50</v>
      </c>
      <c r="E12" s="2">
        <f t="shared" ref="E12:E13" si="10">SUM(B12:D12)</f>
        <v>186</v>
      </c>
      <c r="G12" s="2">
        <v>4.0</v>
      </c>
      <c r="H12" s="2">
        <v>3.0</v>
      </c>
      <c r="I12" s="2">
        <v>9.0</v>
      </c>
    </row>
    <row r="13" ht="14.25" customHeight="1">
      <c r="A13" s="1"/>
      <c r="B13" s="3">
        <f t="shared" ref="B13:D13" si="9">(B12/$E$141)*100</f>
        <v>2.668428005</v>
      </c>
      <c r="C13" s="3">
        <f t="shared" si="9"/>
        <v>0.9247027741</v>
      </c>
      <c r="D13" s="3">
        <f t="shared" si="9"/>
        <v>1.321003963</v>
      </c>
      <c r="E13" s="3">
        <f t="shared" si="10"/>
        <v>4.914134742</v>
      </c>
    </row>
    <row r="14" ht="14.25" customHeight="1">
      <c r="A14" s="1"/>
      <c r="B14" s="3">
        <f t="shared" ref="B14:D14" si="11">(B12/$E$12)*100</f>
        <v>54.30107527</v>
      </c>
      <c r="C14" s="3">
        <f t="shared" si="11"/>
        <v>18.8172043</v>
      </c>
      <c r="D14" s="3">
        <f t="shared" si="11"/>
        <v>26.88172043</v>
      </c>
    </row>
    <row r="15" ht="14.25" customHeight="1">
      <c r="A15" s="1"/>
      <c r="B15" s="3">
        <f t="shared" ref="B15:D15" si="12">(B12/B141)*100</f>
        <v>4.114052953</v>
      </c>
      <c r="C15" s="3">
        <f t="shared" si="12"/>
        <v>7.142857143</v>
      </c>
      <c r="D15" s="3">
        <f t="shared" si="12"/>
        <v>5.952380952</v>
      </c>
    </row>
    <row r="16" ht="14.25" customHeight="1">
      <c r="A16" s="1" t="s">
        <v>49</v>
      </c>
      <c r="B16" s="2">
        <f>sum(G16,126)</f>
        <v>141</v>
      </c>
      <c r="C16" s="2">
        <f>sum(H16,2)</f>
        <v>2</v>
      </c>
      <c r="D16" s="2">
        <f>sum(I16,5)</f>
        <v>6</v>
      </c>
      <c r="E16" s="2">
        <f t="shared" ref="E16:E17" si="14">SUM(B16:D16)</f>
        <v>149</v>
      </c>
      <c r="G16" s="2">
        <v>15.0</v>
      </c>
      <c r="H16" s="2">
        <v>0.0</v>
      </c>
      <c r="I16" s="2">
        <v>1.0</v>
      </c>
    </row>
    <row r="17" ht="14.25" customHeight="1">
      <c r="A17" s="1"/>
      <c r="B17" s="3">
        <f t="shared" ref="B17:D17" si="13">(B16/$E$141)*100</f>
        <v>3.725231176</v>
      </c>
      <c r="C17" s="3">
        <f t="shared" si="13"/>
        <v>0.05284015852</v>
      </c>
      <c r="D17" s="3">
        <f t="shared" si="13"/>
        <v>0.1585204756</v>
      </c>
      <c r="E17" s="3">
        <f t="shared" si="14"/>
        <v>3.93659181</v>
      </c>
    </row>
    <row r="18" ht="14.25" customHeight="1">
      <c r="A18" s="1"/>
      <c r="B18" s="3">
        <f t="shared" ref="B18:D18" si="15">(B16/$E$16)*100</f>
        <v>94.63087248</v>
      </c>
      <c r="C18" s="3">
        <f t="shared" si="15"/>
        <v>1.342281879</v>
      </c>
      <c r="D18" s="3">
        <f t="shared" si="15"/>
        <v>4.026845638</v>
      </c>
    </row>
    <row r="19" ht="14.25" customHeight="1">
      <c r="A19" s="1"/>
      <c r="B19" s="3">
        <f t="shared" ref="B19:D19" si="16">(B16/B141)*100</f>
        <v>5.743380855</v>
      </c>
      <c r="C19" s="3">
        <f t="shared" si="16"/>
        <v>0.4081632653</v>
      </c>
      <c r="D19" s="3">
        <f t="shared" si="16"/>
        <v>0.7142857143</v>
      </c>
    </row>
    <row r="20" ht="14.25" customHeight="1">
      <c r="A20" s="6" t="s">
        <v>50</v>
      </c>
      <c r="B20" s="2">
        <f>sum(G20,25)</f>
        <v>34</v>
      </c>
      <c r="C20" s="2">
        <f>sum(H20,12)</f>
        <v>12</v>
      </c>
      <c r="D20" s="2">
        <f>sum(I20,8)</f>
        <v>14</v>
      </c>
      <c r="E20" s="2">
        <f t="shared" ref="E20:E21" si="18">SUM(B20:D20)</f>
        <v>60</v>
      </c>
      <c r="G20" s="2">
        <v>9.0</v>
      </c>
      <c r="H20" s="2">
        <v>0.0</v>
      </c>
      <c r="I20" s="2">
        <v>6.0</v>
      </c>
    </row>
    <row r="21" ht="14.25" customHeight="1">
      <c r="A21" s="1"/>
      <c r="B21" s="7">
        <f t="shared" ref="B21:D21" si="17">(B20/$E$141)*100</f>
        <v>0.8982826948</v>
      </c>
      <c r="C21" s="7">
        <f t="shared" si="17"/>
        <v>0.3170409511</v>
      </c>
      <c r="D21" s="7">
        <f t="shared" si="17"/>
        <v>0.3698811096</v>
      </c>
      <c r="E21" s="7">
        <f t="shared" si="18"/>
        <v>1.585204756</v>
      </c>
    </row>
    <row r="22" ht="14.25" customHeight="1">
      <c r="A22" s="1"/>
      <c r="B22" s="3">
        <f t="shared" ref="B22:D22" si="19">(B20/$E$20)*100</f>
        <v>56.66666667</v>
      </c>
      <c r="C22" s="3">
        <f t="shared" si="19"/>
        <v>20</v>
      </c>
      <c r="D22" s="3">
        <f t="shared" si="19"/>
        <v>23.33333333</v>
      </c>
    </row>
    <row r="23" ht="14.25" customHeight="1">
      <c r="A23" s="1"/>
      <c r="B23" s="7">
        <f t="shared" ref="B23:D23" si="20">(B20/B141)*100</f>
        <v>1.384928717</v>
      </c>
      <c r="C23" s="3">
        <f t="shared" si="20"/>
        <v>2.448979592</v>
      </c>
      <c r="D23" s="3">
        <f t="shared" si="20"/>
        <v>1.666666667</v>
      </c>
    </row>
    <row r="24" ht="14.25" customHeight="1">
      <c r="A24" s="1" t="s">
        <v>51</v>
      </c>
      <c r="B24" s="2">
        <f>sum(G24,98)</f>
        <v>108</v>
      </c>
      <c r="C24" s="2">
        <f>sum(H24,6)</f>
        <v>11</v>
      </c>
      <c r="D24" s="2">
        <f>sum(I24,7)</f>
        <v>8</v>
      </c>
      <c r="E24" s="2">
        <f t="shared" ref="E24:E25" si="22">SUM(B24:D24)</f>
        <v>127</v>
      </c>
      <c r="G24" s="2">
        <v>10.0</v>
      </c>
      <c r="H24" s="2">
        <v>5.0</v>
      </c>
      <c r="I24" s="2">
        <v>1.0</v>
      </c>
    </row>
    <row r="25" ht="14.25" customHeight="1">
      <c r="A25" s="1"/>
      <c r="B25" s="3">
        <f t="shared" ref="B25:D25" si="21">(B24/$E$141)*100</f>
        <v>2.85336856</v>
      </c>
      <c r="C25" s="3">
        <f t="shared" si="21"/>
        <v>0.2906208719</v>
      </c>
      <c r="D25" s="3">
        <f t="shared" si="21"/>
        <v>0.2113606341</v>
      </c>
      <c r="E25" s="3">
        <f t="shared" si="22"/>
        <v>3.355350066</v>
      </c>
    </row>
    <row r="26" ht="14.25" customHeight="1">
      <c r="A26" s="1"/>
      <c r="B26" s="3">
        <f t="shared" ref="B26:D26" si="23">(B24/$E$24)*100</f>
        <v>85.03937008</v>
      </c>
      <c r="C26" s="3">
        <f t="shared" si="23"/>
        <v>8.661417323</v>
      </c>
      <c r="D26" s="3">
        <f t="shared" si="23"/>
        <v>6.299212598</v>
      </c>
    </row>
    <row r="27" ht="14.25" customHeight="1">
      <c r="A27" s="1"/>
      <c r="B27" s="3">
        <f t="shared" ref="B27:D27" si="24">(B24/B141)*100</f>
        <v>4.399185336</v>
      </c>
      <c r="C27" s="3">
        <f t="shared" si="24"/>
        <v>2.244897959</v>
      </c>
      <c r="D27" s="3">
        <f t="shared" si="24"/>
        <v>0.9523809524</v>
      </c>
    </row>
    <row r="28" ht="14.25" customHeight="1">
      <c r="A28" s="6" t="s">
        <v>52</v>
      </c>
      <c r="B28" s="2">
        <f>sum(G28,27)</f>
        <v>35</v>
      </c>
      <c r="C28" s="2">
        <f>sum(H28,5)</f>
        <v>7</v>
      </c>
      <c r="D28" s="2">
        <f>sum(I28,2)</f>
        <v>8</v>
      </c>
      <c r="E28" s="2">
        <f t="shared" ref="E28:E29" si="26">SUM(B28:D28)</f>
        <v>50</v>
      </c>
      <c r="G28" s="2">
        <v>8.0</v>
      </c>
      <c r="H28" s="2">
        <v>2.0</v>
      </c>
      <c r="I28" s="2">
        <v>6.0</v>
      </c>
    </row>
    <row r="29" ht="14.25" customHeight="1">
      <c r="A29" s="1"/>
      <c r="B29" s="8">
        <f t="shared" ref="B29:D29" si="25">(B28/$E$141)*100</f>
        <v>0.9247027741</v>
      </c>
      <c r="C29" s="9">
        <f t="shared" si="25"/>
        <v>0.1849405548</v>
      </c>
      <c r="D29" s="3">
        <f t="shared" si="25"/>
        <v>0.2113606341</v>
      </c>
      <c r="E29" s="3">
        <f t="shared" si="26"/>
        <v>1.321003963</v>
      </c>
    </row>
    <row r="30" ht="14.25" customHeight="1">
      <c r="A30" s="1"/>
      <c r="B30" s="2">
        <f t="shared" ref="B30:D30" si="27">(B28/$E$28)*100</f>
        <v>70</v>
      </c>
      <c r="C30" s="2">
        <f t="shared" si="27"/>
        <v>14</v>
      </c>
      <c r="D30" s="2">
        <f t="shared" si="27"/>
        <v>16</v>
      </c>
    </row>
    <row r="31" ht="14.25" customHeight="1">
      <c r="A31" s="1"/>
      <c r="B31" s="3">
        <f t="shared" ref="B31:D31" si="28">(B28/B141)*100</f>
        <v>1.425661914</v>
      </c>
      <c r="C31" s="3">
        <f t="shared" si="28"/>
        <v>1.428571429</v>
      </c>
      <c r="D31" s="3">
        <f t="shared" si="28"/>
        <v>0.9523809524</v>
      </c>
    </row>
    <row r="32" ht="14.25" customHeight="1">
      <c r="A32" s="6" t="s">
        <v>81</v>
      </c>
      <c r="B32" s="2">
        <v>13.0</v>
      </c>
      <c r="C32" s="2">
        <v>1.0</v>
      </c>
      <c r="D32" s="2">
        <v>2.0</v>
      </c>
      <c r="E32" s="2">
        <v>16.0</v>
      </c>
      <c r="G32" s="2">
        <v>13.0</v>
      </c>
      <c r="H32" s="2">
        <v>1.0</v>
      </c>
      <c r="I32" s="2">
        <v>2.0</v>
      </c>
    </row>
    <row r="33" ht="14.25" customHeight="1">
      <c r="A33" s="1"/>
      <c r="B33" s="3">
        <f t="shared" ref="B33:D33" si="29">(B32/$E$141)*100</f>
        <v>0.3434610304</v>
      </c>
      <c r="C33" s="3">
        <f t="shared" si="29"/>
        <v>0.02642007926</v>
      </c>
      <c r="D33" s="3">
        <f t="shared" si="29"/>
        <v>0.05284015852</v>
      </c>
      <c r="E33" s="3">
        <f>SUM(B33:D33)</f>
        <v>0.4227212682</v>
      </c>
    </row>
    <row r="34" ht="14.25" customHeight="1">
      <c r="A34" s="1"/>
      <c r="B34" s="3">
        <f t="shared" ref="B34:D34" si="30">(B32/$E$32)*100</f>
        <v>81.25</v>
      </c>
      <c r="C34" s="3">
        <f t="shared" si="30"/>
        <v>6.25</v>
      </c>
      <c r="D34" s="3">
        <f t="shared" si="30"/>
        <v>12.5</v>
      </c>
      <c r="E34" s="3"/>
    </row>
    <row r="35" ht="14.25" customHeight="1">
      <c r="A35" s="1"/>
      <c r="B35" s="3">
        <f t="shared" ref="B35:D35" si="31">(B32/B141)*100</f>
        <v>0.5295315682</v>
      </c>
      <c r="C35" s="3">
        <f t="shared" si="31"/>
        <v>0.2040816327</v>
      </c>
      <c r="D35" s="3">
        <f t="shared" si="31"/>
        <v>0.2380952381</v>
      </c>
      <c r="E35" s="3"/>
    </row>
    <row r="36" ht="14.25" customHeight="1">
      <c r="A36" s="1" t="s">
        <v>53</v>
      </c>
      <c r="B36" s="2">
        <v>18.0</v>
      </c>
      <c r="C36" s="2">
        <v>0.0</v>
      </c>
      <c r="D36" s="2">
        <v>0.0</v>
      </c>
      <c r="E36" s="2">
        <f t="shared" ref="E36:E37" si="33">SUM(B36:D36)</f>
        <v>18</v>
      </c>
      <c r="G36" s="2">
        <v>0.0</v>
      </c>
      <c r="H36" s="2">
        <v>0.0</v>
      </c>
      <c r="I36" s="2">
        <v>0.0</v>
      </c>
    </row>
    <row r="37" ht="14.25" customHeight="1">
      <c r="A37" s="1" t="s">
        <v>54</v>
      </c>
      <c r="B37" s="3">
        <f t="shared" ref="B37:D37" si="32">(B36/$E$141)*100</f>
        <v>0.4755614267</v>
      </c>
      <c r="C37" s="3">
        <f t="shared" si="32"/>
        <v>0</v>
      </c>
      <c r="D37" s="3">
        <f t="shared" si="32"/>
        <v>0</v>
      </c>
      <c r="E37" s="3">
        <f t="shared" si="33"/>
        <v>0.4755614267</v>
      </c>
    </row>
    <row r="38" ht="14.25" customHeight="1">
      <c r="A38" s="1"/>
      <c r="B38" s="2">
        <v>100.0</v>
      </c>
      <c r="C38" s="2">
        <v>0.0</v>
      </c>
      <c r="D38" s="2">
        <v>0.0</v>
      </c>
    </row>
    <row r="39" ht="14.25" customHeight="1">
      <c r="A39" s="1"/>
      <c r="B39" s="2">
        <f>(B36/18)*100</f>
        <v>100</v>
      </c>
      <c r="C39" s="2">
        <v>0.0</v>
      </c>
      <c r="D39" s="2">
        <v>0.0</v>
      </c>
    </row>
    <row r="40" ht="14.25" customHeight="1">
      <c r="A40" s="1" t="s">
        <v>55</v>
      </c>
      <c r="B40" s="2">
        <f>sum(G40,96)</f>
        <v>108</v>
      </c>
      <c r="C40" s="2">
        <f>sum(H40,10)</f>
        <v>10</v>
      </c>
      <c r="D40" s="2">
        <f>sum(I40,17)</f>
        <v>21</v>
      </c>
      <c r="E40" s="2">
        <f t="shared" ref="E40:E41" si="35">SUM(B40:D40)</f>
        <v>139</v>
      </c>
      <c r="G40" s="2">
        <v>12.0</v>
      </c>
      <c r="H40" s="2">
        <v>0.0</v>
      </c>
      <c r="I40" s="2">
        <v>4.0</v>
      </c>
    </row>
    <row r="41" ht="14.25" customHeight="1">
      <c r="A41" s="1"/>
      <c r="B41" s="3">
        <f t="shared" ref="B41:D41" si="34">(B40/$E$141)*100</f>
        <v>2.85336856</v>
      </c>
      <c r="C41" s="3">
        <f t="shared" si="34"/>
        <v>0.2642007926</v>
      </c>
      <c r="D41" s="3">
        <f t="shared" si="34"/>
        <v>0.5548216645</v>
      </c>
      <c r="E41" s="3">
        <f t="shared" si="35"/>
        <v>3.672391017</v>
      </c>
    </row>
    <row r="42" ht="14.25" customHeight="1">
      <c r="A42" s="1"/>
      <c r="B42" s="3">
        <f t="shared" ref="B42:D42" si="36">(B40/$E$40)*100</f>
        <v>77.69784173</v>
      </c>
      <c r="C42" s="3">
        <f t="shared" si="36"/>
        <v>7.194244604</v>
      </c>
      <c r="D42" s="3">
        <f t="shared" si="36"/>
        <v>15.10791367</v>
      </c>
    </row>
    <row r="43" ht="14.25" customHeight="1">
      <c r="A43" s="1"/>
      <c r="B43" s="3">
        <f t="shared" ref="B43:D43" si="37">(B40/B141)*100</f>
        <v>4.399185336</v>
      </c>
      <c r="C43" s="3">
        <f t="shared" si="37"/>
        <v>2.040816327</v>
      </c>
      <c r="D43" s="3">
        <f t="shared" si="37"/>
        <v>2.5</v>
      </c>
    </row>
    <row r="44" ht="14.25" customHeight="1">
      <c r="A44" s="1" t="s">
        <v>56</v>
      </c>
      <c r="B44" s="2">
        <f>sum(G44, 110)</f>
        <v>119</v>
      </c>
      <c r="C44" s="2">
        <f>sum(H44,10)</f>
        <v>12</v>
      </c>
      <c r="D44" s="2">
        <f>sum(I44, 29)</f>
        <v>34</v>
      </c>
      <c r="E44" s="2">
        <f t="shared" ref="E44:E45" si="39">SUM(B44:D44)</f>
        <v>165</v>
      </c>
      <c r="G44" s="2">
        <v>9.0</v>
      </c>
      <c r="H44" s="2">
        <v>2.0</v>
      </c>
      <c r="I44" s="2">
        <v>5.0</v>
      </c>
    </row>
    <row r="45" ht="14.25" customHeight="1">
      <c r="A45" s="1"/>
      <c r="B45" s="3">
        <f t="shared" ref="B45:D45" si="38">(B44/$E$141)*100</f>
        <v>3.143989432</v>
      </c>
      <c r="C45" s="3">
        <f t="shared" si="38"/>
        <v>0.3170409511</v>
      </c>
      <c r="D45" s="3">
        <f t="shared" si="38"/>
        <v>0.8982826948</v>
      </c>
      <c r="E45" s="3">
        <f t="shared" si="39"/>
        <v>4.359313078</v>
      </c>
    </row>
    <row r="46" ht="14.25" customHeight="1">
      <c r="A46" s="1"/>
      <c r="B46" s="3">
        <f t="shared" ref="B46:D46" si="40">(B44/$E$44)*100</f>
        <v>72.12121212</v>
      </c>
      <c r="C46" s="3">
        <f t="shared" si="40"/>
        <v>7.272727273</v>
      </c>
      <c r="D46" s="3">
        <f t="shared" si="40"/>
        <v>20.60606061</v>
      </c>
    </row>
    <row r="47" ht="14.25" customHeight="1">
      <c r="A47" s="1"/>
      <c r="B47" s="3">
        <f t="shared" ref="B47:D47" si="41">(B44/B141)*100</f>
        <v>4.847250509</v>
      </c>
      <c r="C47" s="3">
        <f t="shared" si="41"/>
        <v>2.448979592</v>
      </c>
      <c r="D47" s="3">
        <f t="shared" si="41"/>
        <v>4.047619048</v>
      </c>
    </row>
    <row r="48" ht="14.25" customHeight="1">
      <c r="A48" s="1" t="s">
        <v>57</v>
      </c>
      <c r="B48" s="2">
        <f>sum(G48,2)</f>
        <v>2</v>
      </c>
      <c r="C48" s="2">
        <f>sum(H48, 31)</f>
        <v>35</v>
      </c>
      <c r="D48" s="2">
        <f>sum(I48, 94)</f>
        <v>106</v>
      </c>
      <c r="E48" s="2">
        <f t="shared" ref="E48:E49" si="43">SUM(B48:D48)</f>
        <v>143</v>
      </c>
      <c r="G48" s="2">
        <v>0.0</v>
      </c>
      <c r="H48" s="2">
        <v>4.0</v>
      </c>
      <c r="I48" s="2">
        <v>12.0</v>
      </c>
    </row>
    <row r="49" ht="14.25" customHeight="1">
      <c r="A49" s="1"/>
      <c r="B49" s="3">
        <f t="shared" ref="B49:D49" si="42">(B48/$E$141)*100</f>
        <v>0.05284015852</v>
      </c>
      <c r="C49" s="3">
        <f t="shared" si="42"/>
        <v>0.9247027741</v>
      </c>
      <c r="D49" s="3">
        <f t="shared" si="42"/>
        <v>2.800528402</v>
      </c>
      <c r="E49" s="3">
        <f t="shared" si="43"/>
        <v>3.778071334</v>
      </c>
    </row>
    <row r="50" ht="14.25" customHeight="1">
      <c r="A50" s="1"/>
      <c r="B50" s="3">
        <f t="shared" ref="B50:D50" si="44">(B48/$E$48)*100</f>
        <v>1.398601399</v>
      </c>
      <c r="C50" s="3">
        <f t="shared" si="44"/>
        <v>24.47552448</v>
      </c>
      <c r="D50" s="3">
        <f t="shared" si="44"/>
        <v>74.12587413</v>
      </c>
    </row>
    <row r="51" ht="14.25" customHeight="1">
      <c r="A51" s="1"/>
      <c r="B51" s="3">
        <f t="shared" ref="B51:D51" si="45">(B48/B141)*100</f>
        <v>0.08146639511</v>
      </c>
      <c r="C51" s="3">
        <f t="shared" si="45"/>
        <v>7.142857143</v>
      </c>
      <c r="D51" s="3">
        <f t="shared" si="45"/>
        <v>12.61904762</v>
      </c>
    </row>
    <row r="52" ht="14.25" customHeight="1">
      <c r="A52" s="6" t="s">
        <v>82</v>
      </c>
      <c r="B52" s="2">
        <v>6.0</v>
      </c>
      <c r="C52" s="2">
        <v>6.0</v>
      </c>
      <c r="D52" s="2">
        <v>4.0</v>
      </c>
      <c r="E52" s="2">
        <v>16.0</v>
      </c>
      <c r="G52" s="2">
        <v>6.0</v>
      </c>
      <c r="H52" s="2">
        <v>6.0</v>
      </c>
      <c r="I52" s="2">
        <v>4.0</v>
      </c>
    </row>
    <row r="53" ht="14.25" customHeight="1">
      <c r="A53" s="1"/>
      <c r="B53" s="3">
        <f t="shared" ref="B53:D53" si="46">(B52/$E$141)*100</f>
        <v>0.1585204756</v>
      </c>
      <c r="C53" s="3">
        <f t="shared" si="46"/>
        <v>0.1585204756</v>
      </c>
      <c r="D53" s="3">
        <f t="shared" si="46"/>
        <v>0.105680317</v>
      </c>
      <c r="E53" s="3">
        <f>SUM(B53:D53)</f>
        <v>0.4227212682</v>
      </c>
    </row>
    <row r="54" ht="14.25" customHeight="1">
      <c r="A54" s="1"/>
      <c r="B54" s="3">
        <f t="shared" ref="B54:D54" si="47">(B52/$E$52)*100</f>
        <v>37.5</v>
      </c>
      <c r="C54" s="3">
        <f t="shared" si="47"/>
        <v>37.5</v>
      </c>
      <c r="D54" s="3">
        <f t="shared" si="47"/>
        <v>25</v>
      </c>
      <c r="E54" s="3"/>
    </row>
    <row r="55" ht="14.25" customHeight="1">
      <c r="A55" s="1"/>
      <c r="B55" s="3">
        <f t="shared" ref="B55:D55" si="48">(B52/B141)*100</f>
        <v>0.2443991853</v>
      </c>
      <c r="C55" s="3">
        <f t="shared" si="48"/>
        <v>1.224489796</v>
      </c>
      <c r="D55" s="3">
        <f t="shared" si="48"/>
        <v>0.4761904762</v>
      </c>
      <c r="E55" s="3"/>
    </row>
    <row r="56" ht="14.25" customHeight="1">
      <c r="A56" s="1" t="s">
        <v>58</v>
      </c>
      <c r="B56" s="2">
        <f>sum(G56, 149)</f>
        <v>160</v>
      </c>
      <c r="C56" s="2">
        <f>sum(H56,12)</f>
        <v>14</v>
      </c>
      <c r="D56" s="2">
        <f>sum(I56,10)</f>
        <v>13</v>
      </c>
      <c r="E56" s="2">
        <f t="shared" ref="E56:E57" si="50">SUM(B56:D56)</f>
        <v>187</v>
      </c>
      <c r="G56" s="2">
        <v>11.0</v>
      </c>
      <c r="H56" s="2">
        <v>2.0</v>
      </c>
      <c r="I56" s="2">
        <v>3.0</v>
      </c>
    </row>
    <row r="57" ht="14.25" customHeight="1">
      <c r="A57" s="1"/>
      <c r="B57" s="3">
        <f t="shared" ref="B57:D57" si="49">(B56/$E$141)*100</f>
        <v>4.227212682</v>
      </c>
      <c r="C57" s="3">
        <f t="shared" si="49"/>
        <v>0.3698811096</v>
      </c>
      <c r="D57" s="3">
        <f t="shared" si="49"/>
        <v>0.3434610304</v>
      </c>
      <c r="E57" s="3">
        <f t="shared" si="50"/>
        <v>4.940554822</v>
      </c>
    </row>
    <row r="58" ht="14.25" customHeight="1">
      <c r="A58" s="1"/>
      <c r="B58" s="3">
        <f t="shared" ref="B58:D58" si="51">(B56/$E$56)*100</f>
        <v>85.56149733</v>
      </c>
      <c r="C58" s="3">
        <f t="shared" si="51"/>
        <v>7.486631016</v>
      </c>
      <c r="D58" s="3">
        <f t="shared" si="51"/>
        <v>6.951871658</v>
      </c>
    </row>
    <row r="59" ht="14.25" customHeight="1">
      <c r="A59" s="1"/>
      <c r="B59" s="3">
        <f t="shared" ref="B59:D59" si="52">(B56/B141)*100</f>
        <v>6.517311609</v>
      </c>
      <c r="C59" s="3">
        <f t="shared" si="52"/>
        <v>2.857142857</v>
      </c>
      <c r="D59" s="3">
        <f t="shared" si="52"/>
        <v>1.547619048</v>
      </c>
    </row>
    <row r="60" ht="14.25" customHeight="1">
      <c r="A60" s="6" t="s">
        <v>59</v>
      </c>
      <c r="B60" s="2">
        <f>sum(G60, 18)</f>
        <v>28</v>
      </c>
      <c r="C60" s="2">
        <f>sum(H60, 13)</f>
        <v>15</v>
      </c>
      <c r="D60" s="2">
        <f>sum(I60, 14)</f>
        <v>17</v>
      </c>
      <c r="E60" s="2">
        <f t="shared" ref="E60:E61" si="54">SUM(B60:D60)</f>
        <v>60</v>
      </c>
      <c r="G60" s="2">
        <v>10.0</v>
      </c>
      <c r="H60" s="2">
        <v>2.0</v>
      </c>
      <c r="I60" s="2">
        <v>3.0</v>
      </c>
    </row>
    <row r="61" ht="14.25" customHeight="1">
      <c r="A61" s="1"/>
      <c r="B61" s="7">
        <f t="shared" ref="B61:D61" si="53">(B60/$E$141)*100</f>
        <v>0.7397622193</v>
      </c>
      <c r="C61" s="7">
        <f t="shared" si="53"/>
        <v>0.3963011889</v>
      </c>
      <c r="D61" s="7">
        <f t="shared" si="53"/>
        <v>0.4491413474</v>
      </c>
      <c r="E61" s="7">
        <f t="shared" si="54"/>
        <v>1.585204756</v>
      </c>
    </row>
    <row r="62" ht="14.25" customHeight="1">
      <c r="A62" s="1"/>
      <c r="B62" s="3">
        <f t="shared" ref="B62:D62" si="55">(B60/$E$60)*100</f>
        <v>46.66666667</v>
      </c>
      <c r="C62" s="3">
        <f t="shared" si="55"/>
        <v>25</v>
      </c>
      <c r="D62" s="3">
        <f t="shared" si="55"/>
        <v>28.33333333</v>
      </c>
    </row>
    <row r="63" ht="14.25" customHeight="1">
      <c r="A63" s="1"/>
      <c r="B63" s="3">
        <f t="shared" ref="B63:D63" si="56">(B60/B141)*100</f>
        <v>1.140529532</v>
      </c>
      <c r="C63" s="3">
        <f t="shared" si="56"/>
        <v>3.06122449</v>
      </c>
      <c r="D63" s="3">
        <f t="shared" si="56"/>
        <v>2.023809524</v>
      </c>
    </row>
    <row r="64" ht="14.25" customHeight="1">
      <c r="A64" s="1" t="s">
        <v>60</v>
      </c>
      <c r="G64" s="2">
        <v>8.0</v>
      </c>
      <c r="H64" s="2">
        <v>4.0</v>
      </c>
      <c r="I64" s="2">
        <v>4.0</v>
      </c>
    </row>
    <row r="65" ht="14.25" customHeight="1">
      <c r="B65" s="2">
        <f>sum(G64, 123)</f>
        <v>131</v>
      </c>
      <c r="C65" s="2">
        <f>sum(H64, 9)</f>
        <v>13</v>
      </c>
      <c r="D65" s="2">
        <f>sum(I64, 19)</f>
        <v>23</v>
      </c>
      <c r="E65" s="2">
        <f t="shared" ref="E65:E66" si="58">SUM(B65:D65)</f>
        <v>167</v>
      </c>
    </row>
    <row r="66" ht="14.25" customHeight="1">
      <c r="A66" s="1"/>
      <c r="B66" s="3">
        <f t="shared" ref="B66:D66" si="57">(B65/$E$141)*100</f>
        <v>3.461030383</v>
      </c>
      <c r="C66" s="3">
        <f t="shared" si="57"/>
        <v>0.3434610304</v>
      </c>
      <c r="D66" s="3">
        <f t="shared" si="57"/>
        <v>0.607661823</v>
      </c>
      <c r="E66" s="3">
        <f t="shared" si="58"/>
        <v>4.412153236</v>
      </c>
    </row>
    <row r="67" ht="14.25" customHeight="1">
      <c r="A67" s="1"/>
      <c r="B67" s="3">
        <f t="shared" ref="B67:D67" si="59">(B65/$E$65)*100</f>
        <v>78.44311377</v>
      </c>
      <c r="C67" s="3">
        <f t="shared" si="59"/>
        <v>7.784431138</v>
      </c>
      <c r="D67" s="3">
        <f t="shared" si="59"/>
        <v>13.77245509</v>
      </c>
    </row>
    <row r="68" ht="14.25" customHeight="1">
      <c r="A68" s="1"/>
      <c r="B68" s="3">
        <f t="shared" ref="B68:D68" si="60">(B65/B141)*100</f>
        <v>5.33604888</v>
      </c>
      <c r="C68" s="3">
        <f t="shared" si="60"/>
        <v>2.653061224</v>
      </c>
      <c r="D68" s="3">
        <f t="shared" si="60"/>
        <v>2.738095238</v>
      </c>
    </row>
    <row r="69" ht="14.25" customHeight="1">
      <c r="A69" s="1" t="s">
        <v>61</v>
      </c>
      <c r="B69" s="2">
        <f>sum(G69, 95)</f>
        <v>96</v>
      </c>
      <c r="C69" s="2">
        <f>sum(H69, 22)</f>
        <v>25</v>
      </c>
      <c r="D69" s="2">
        <f>sum(I69,34)</f>
        <v>46</v>
      </c>
      <c r="E69" s="2">
        <f t="shared" ref="E69:E70" si="62">SUM(B69:D69)</f>
        <v>167</v>
      </c>
      <c r="G69" s="2">
        <v>1.0</v>
      </c>
      <c r="H69" s="2">
        <v>3.0</v>
      </c>
      <c r="I69" s="2">
        <v>12.0</v>
      </c>
    </row>
    <row r="70" ht="14.25" customHeight="1">
      <c r="A70" s="1"/>
      <c r="B70" s="3">
        <f t="shared" ref="B70:D70" si="61">(B69/$E$141)*100</f>
        <v>2.536327609</v>
      </c>
      <c r="C70" s="3">
        <f t="shared" si="61"/>
        <v>0.6605019815</v>
      </c>
      <c r="D70" s="3">
        <f t="shared" si="61"/>
        <v>1.215323646</v>
      </c>
      <c r="E70" s="3">
        <f t="shared" si="62"/>
        <v>4.412153236</v>
      </c>
    </row>
    <row r="71" ht="14.25" customHeight="1">
      <c r="A71" s="1"/>
      <c r="B71" s="3">
        <f t="shared" ref="B71:D71" si="63">(B69/$E$69)*100</f>
        <v>57.48502994</v>
      </c>
      <c r="C71" s="3">
        <f t="shared" si="63"/>
        <v>14.97005988</v>
      </c>
      <c r="D71" s="3">
        <f t="shared" si="63"/>
        <v>27.54491018</v>
      </c>
    </row>
    <row r="72" ht="14.25" customHeight="1">
      <c r="A72" s="1"/>
      <c r="B72" s="3">
        <f t="shared" ref="B72:D72" si="64">(B69/B141)*100</f>
        <v>3.910386965</v>
      </c>
      <c r="C72" s="3">
        <f t="shared" si="64"/>
        <v>5.102040816</v>
      </c>
      <c r="D72" s="3">
        <f t="shared" si="64"/>
        <v>5.476190476</v>
      </c>
    </row>
    <row r="73" ht="14.25" customHeight="1">
      <c r="A73" s="1" t="s">
        <v>62</v>
      </c>
      <c r="B73" s="2">
        <f>sum(G73, 101)</f>
        <v>113</v>
      </c>
      <c r="C73" s="2">
        <f t="shared" ref="C73:D73" si="65">sum(H73,7)</f>
        <v>10</v>
      </c>
      <c r="D73" s="2">
        <f t="shared" si="65"/>
        <v>8</v>
      </c>
      <c r="E73" s="2">
        <f t="shared" ref="E73:E74" si="67">SUM(B73:D73)</f>
        <v>131</v>
      </c>
      <c r="G73" s="2">
        <v>12.0</v>
      </c>
      <c r="H73" s="2">
        <v>3.0</v>
      </c>
      <c r="I73" s="2">
        <v>1.0</v>
      </c>
    </row>
    <row r="74" ht="14.25" customHeight="1">
      <c r="A74" s="1"/>
      <c r="B74" s="3">
        <f t="shared" ref="B74:D74" si="66">(B73/$E$141)*100</f>
        <v>2.985468956</v>
      </c>
      <c r="C74" s="3">
        <f t="shared" si="66"/>
        <v>0.2642007926</v>
      </c>
      <c r="D74" s="3">
        <f t="shared" si="66"/>
        <v>0.2113606341</v>
      </c>
      <c r="E74" s="3">
        <f t="shared" si="67"/>
        <v>3.461030383</v>
      </c>
    </row>
    <row r="75" ht="14.25" customHeight="1">
      <c r="A75" s="1"/>
      <c r="B75" s="3">
        <f t="shared" ref="B75:D75" si="68">(B73/$E$73)*100</f>
        <v>86.25954198</v>
      </c>
      <c r="C75" s="3">
        <f t="shared" si="68"/>
        <v>7.633587786</v>
      </c>
      <c r="D75" s="3">
        <f t="shared" si="68"/>
        <v>6.106870229</v>
      </c>
    </row>
    <row r="76" ht="14.25" customHeight="1">
      <c r="A76" s="1"/>
      <c r="B76" s="3">
        <f t="shared" ref="B76:D76" si="69">(B73/B141)*100</f>
        <v>4.602851324</v>
      </c>
      <c r="C76" s="3">
        <f t="shared" si="69"/>
        <v>2.040816327</v>
      </c>
      <c r="D76" s="3">
        <f t="shared" si="69"/>
        <v>0.9523809524</v>
      </c>
    </row>
    <row r="77" ht="14.25" customHeight="1">
      <c r="A77" s="6" t="s">
        <v>63</v>
      </c>
      <c r="B77" s="2">
        <f>sum(G77, 1)</f>
        <v>1</v>
      </c>
      <c r="C77" s="2">
        <f>sum(H77,10)</f>
        <v>12</v>
      </c>
      <c r="D77" s="2">
        <f>sum(I77, 37)</f>
        <v>51</v>
      </c>
      <c r="E77" s="2">
        <f t="shared" ref="E77:E78" si="71">SUM(B77:D77)</f>
        <v>64</v>
      </c>
      <c r="G77" s="2">
        <v>0.0</v>
      </c>
      <c r="H77" s="2">
        <v>2.0</v>
      </c>
      <c r="I77" s="2">
        <v>14.0</v>
      </c>
    </row>
    <row r="78" ht="14.25" customHeight="1">
      <c r="A78" s="1"/>
      <c r="B78" s="10">
        <f t="shared" ref="B78:D78" si="70">(B77/$E$141)*100</f>
        <v>0.02642007926</v>
      </c>
      <c r="C78" s="11">
        <f t="shared" si="70"/>
        <v>0.3170409511</v>
      </c>
      <c r="D78" s="7">
        <f t="shared" si="70"/>
        <v>1.347424042</v>
      </c>
      <c r="E78" s="10">
        <f t="shared" si="71"/>
        <v>1.690885073</v>
      </c>
    </row>
    <row r="79" ht="14.25" customHeight="1">
      <c r="A79" s="1"/>
      <c r="B79" s="3">
        <f t="shared" ref="B79:D79" si="72">(B77/$E$77)*100</f>
        <v>1.5625</v>
      </c>
      <c r="C79" s="12">
        <f t="shared" si="72"/>
        <v>18.75</v>
      </c>
      <c r="D79" s="3">
        <f t="shared" si="72"/>
        <v>79.6875</v>
      </c>
    </row>
    <row r="80" ht="14.25" customHeight="1">
      <c r="A80" s="1"/>
      <c r="B80" s="13">
        <f t="shared" ref="B80:D80" si="73">(B77/B141)*100</f>
        <v>0.04073319756</v>
      </c>
      <c r="C80" s="3">
        <f t="shared" si="73"/>
        <v>2.448979592</v>
      </c>
      <c r="D80" s="2">
        <f t="shared" si="73"/>
        <v>6.071428571</v>
      </c>
    </row>
    <row r="81" ht="14.25" customHeight="1">
      <c r="A81" s="6" t="s">
        <v>64</v>
      </c>
      <c r="B81" s="2">
        <f>sum(G81,7)</f>
        <v>8</v>
      </c>
      <c r="C81" s="2">
        <f>sum(H81, 18)</f>
        <v>23</v>
      </c>
      <c r="D81" s="2">
        <f>sum(I81, 20)</f>
        <v>29</v>
      </c>
      <c r="E81" s="2">
        <f t="shared" ref="E81:E82" si="75">SUM(B81:D81)</f>
        <v>60</v>
      </c>
      <c r="G81" s="2">
        <v>1.0</v>
      </c>
      <c r="H81" s="2">
        <v>5.0</v>
      </c>
      <c r="I81" s="2">
        <v>9.0</v>
      </c>
    </row>
    <row r="82" ht="14.25" customHeight="1">
      <c r="A82" s="1"/>
      <c r="B82" s="14">
        <f t="shared" ref="B82:D82" si="74">(B81/$E$141)*100</f>
        <v>0.2113606341</v>
      </c>
      <c r="C82" s="8">
        <f t="shared" si="74"/>
        <v>0.607661823</v>
      </c>
      <c r="D82" s="14">
        <f t="shared" si="74"/>
        <v>0.7661822985</v>
      </c>
      <c r="E82" s="7">
        <f t="shared" si="75"/>
        <v>1.585204756</v>
      </c>
    </row>
    <row r="83" ht="14.25" customHeight="1">
      <c r="A83" s="1"/>
      <c r="B83" s="3">
        <f t="shared" ref="B83:D83" si="76">(B81/$E$81)*100</f>
        <v>13.33333333</v>
      </c>
      <c r="C83" s="3">
        <f t="shared" si="76"/>
        <v>38.33333333</v>
      </c>
      <c r="D83" s="3">
        <f t="shared" si="76"/>
        <v>48.33333333</v>
      </c>
    </row>
    <row r="84" ht="14.25" customHeight="1">
      <c r="A84" s="1"/>
      <c r="B84" s="7">
        <f t="shared" ref="B84:D84" si="77">(B81/B141)*100</f>
        <v>0.3258655804</v>
      </c>
      <c r="C84" s="3">
        <f t="shared" si="77"/>
        <v>4.693877551</v>
      </c>
      <c r="D84" s="3">
        <f t="shared" si="77"/>
        <v>3.452380952</v>
      </c>
    </row>
    <row r="85" ht="14.25" customHeight="1">
      <c r="A85" s="1" t="s">
        <v>65</v>
      </c>
      <c r="B85" s="2">
        <f>sum(G85, 134)</f>
        <v>146</v>
      </c>
      <c r="C85" s="2">
        <f>sum(H85,7)</f>
        <v>8</v>
      </c>
      <c r="D85" s="2">
        <f>sum(I85,10)</f>
        <v>13</v>
      </c>
      <c r="E85" s="2">
        <f t="shared" ref="E85:E86" si="79">SUM(B85:D85)</f>
        <v>167</v>
      </c>
      <c r="G85" s="2">
        <v>12.0</v>
      </c>
      <c r="H85" s="2">
        <v>1.0</v>
      </c>
      <c r="I85" s="2">
        <v>3.0</v>
      </c>
    </row>
    <row r="86" ht="14.25" customHeight="1">
      <c r="A86" s="1"/>
      <c r="B86" s="3">
        <f t="shared" ref="B86:D86" si="78">(B85/$E$141)*100</f>
        <v>3.857331572</v>
      </c>
      <c r="C86" s="3">
        <f t="shared" si="78"/>
        <v>0.2113606341</v>
      </c>
      <c r="D86" s="3">
        <f t="shared" si="78"/>
        <v>0.3434610304</v>
      </c>
      <c r="E86" s="3">
        <f t="shared" si="79"/>
        <v>4.412153236</v>
      </c>
    </row>
    <row r="87" ht="14.25" customHeight="1">
      <c r="A87" s="1"/>
      <c r="B87" s="3">
        <f t="shared" ref="B87:D87" si="80">(B85/$E$85)*100</f>
        <v>87.4251497</v>
      </c>
      <c r="C87" s="3">
        <f t="shared" si="80"/>
        <v>4.790419162</v>
      </c>
      <c r="D87" s="3">
        <f t="shared" si="80"/>
        <v>7.784431138</v>
      </c>
    </row>
    <row r="88" ht="14.25" customHeight="1">
      <c r="A88" s="1"/>
      <c r="B88" s="3">
        <f t="shared" ref="B88:D88" si="81">(B85/B141)*100</f>
        <v>5.947046843</v>
      </c>
      <c r="C88" s="3">
        <f t="shared" si="81"/>
        <v>1.632653061</v>
      </c>
      <c r="D88" s="3">
        <f t="shared" si="81"/>
        <v>1.547619048</v>
      </c>
    </row>
    <row r="89" ht="14.25" customHeight="1">
      <c r="A89" s="1" t="s">
        <v>66</v>
      </c>
      <c r="B89" s="2">
        <f>sum(G89,5)</f>
        <v>5</v>
      </c>
      <c r="C89" s="2">
        <f>sum(H89,25)</f>
        <v>30</v>
      </c>
      <c r="D89" s="2">
        <f>sum(I89, 50)</f>
        <v>61</v>
      </c>
      <c r="E89" s="2">
        <f t="shared" ref="E89:E90" si="83">SUM(B89:D89)</f>
        <v>96</v>
      </c>
      <c r="G89" s="2">
        <v>0.0</v>
      </c>
      <c r="H89" s="2">
        <v>5.0</v>
      </c>
      <c r="I89" s="2">
        <v>11.0</v>
      </c>
    </row>
    <row r="90" ht="14.25" customHeight="1">
      <c r="A90" s="1"/>
      <c r="B90" s="3">
        <f t="shared" ref="B90:D90" si="82">(B89/$E$141)*100</f>
        <v>0.1321003963</v>
      </c>
      <c r="C90" s="3">
        <f t="shared" si="82"/>
        <v>0.7926023778</v>
      </c>
      <c r="D90" s="3">
        <f t="shared" si="82"/>
        <v>1.611624835</v>
      </c>
      <c r="E90" s="3">
        <f t="shared" si="83"/>
        <v>2.536327609</v>
      </c>
    </row>
    <row r="91" ht="14.25" customHeight="1">
      <c r="A91" s="1"/>
      <c r="B91" s="3">
        <f t="shared" ref="B91:D91" si="84">(B89/$E$89)*100</f>
        <v>5.208333333</v>
      </c>
      <c r="C91" s="3">
        <f t="shared" si="84"/>
        <v>31.25</v>
      </c>
      <c r="D91" s="3">
        <f t="shared" si="84"/>
        <v>63.54166667</v>
      </c>
    </row>
    <row r="92" ht="14.25" customHeight="1">
      <c r="A92" s="1"/>
      <c r="B92" s="3">
        <f t="shared" ref="B92:D92" si="85">(B89/B141)*100</f>
        <v>0.2036659878</v>
      </c>
      <c r="C92" s="3">
        <f t="shared" si="85"/>
        <v>6.12244898</v>
      </c>
      <c r="D92" s="3">
        <f t="shared" si="85"/>
        <v>7.261904762</v>
      </c>
    </row>
    <row r="93" ht="14.25" customHeight="1">
      <c r="A93" s="6" t="s">
        <v>67</v>
      </c>
      <c r="B93" s="2">
        <f>sum(G93, 19)</f>
        <v>21</v>
      </c>
      <c r="C93" s="2">
        <f>sum(H93,10)</f>
        <v>14</v>
      </c>
      <c r="D93" s="2">
        <f>sum(I93, 14)</f>
        <v>24</v>
      </c>
      <c r="E93" s="2">
        <f t="shared" ref="E93:E94" si="87">SUM(B93:D93)</f>
        <v>59</v>
      </c>
      <c r="G93" s="2">
        <v>2.0</v>
      </c>
      <c r="H93" s="2">
        <v>4.0</v>
      </c>
      <c r="I93" s="2">
        <v>10.0</v>
      </c>
    </row>
    <row r="94" ht="14.25" customHeight="1">
      <c r="A94" s="1"/>
      <c r="B94" s="3">
        <f t="shared" ref="B94:D94" si="86">(B93/$E$141)*100</f>
        <v>0.5548216645</v>
      </c>
      <c r="C94" s="3">
        <f t="shared" si="86"/>
        <v>0.3698811096</v>
      </c>
      <c r="D94" s="3">
        <f t="shared" si="86"/>
        <v>0.6340819022</v>
      </c>
      <c r="E94" s="3">
        <f t="shared" si="87"/>
        <v>1.558784676</v>
      </c>
    </row>
    <row r="95" ht="14.25" customHeight="1">
      <c r="A95" s="1"/>
      <c r="B95" s="3">
        <f t="shared" ref="B95:D95" si="88">(B93/$E$93)*100</f>
        <v>35.59322034</v>
      </c>
      <c r="C95" s="3">
        <f t="shared" si="88"/>
        <v>23.72881356</v>
      </c>
      <c r="D95" s="3">
        <f t="shared" si="88"/>
        <v>40.6779661</v>
      </c>
    </row>
    <row r="96" ht="14.25" customHeight="1">
      <c r="A96" s="1"/>
      <c r="B96" s="3">
        <f t="shared" ref="B96:D96" si="89">(B93/B141)*100</f>
        <v>0.8553971487</v>
      </c>
      <c r="C96" s="3">
        <f t="shared" si="89"/>
        <v>2.857142857</v>
      </c>
      <c r="D96" s="3">
        <f t="shared" si="89"/>
        <v>2.857142857</v>
      </c>
    </row>
    <row r="97" ht="14.25" customHeight="1">
      <c r="A97" s="1" t="s">
        <v>68</v>
      </c>
      <c r="B97" s="2">
        <f>sum(G97, 1)</f>
        <v>1</v>
      </c>
      <c r="C97" s="2">
        <f>sum(H97,7)</f>
        <v>8</v>
      </c>
      <c r="D97" s="2">
        <f>sum(I97, 72)</f>
        <v>87</v>
      </c>
      <c r="E97" s="2">
        <f t="shared" ref="E97:E98" si="91">SUM(B97:D97)</f>
        <v>96</v>
      </c>
      <c r="G97" s="2">
        <v>0.0</v>
      </c>
      <c r="H97" s="2">
        <v>1.0</v>
      </c>
      <c r="I97" s="2">
        <v>15.0</v>
      </c>
    </row>
    <row r="98" ht="14.25" customHeight="1">
      <c r="A98" s="1"/>
      <c r="B98" s="3">
        <f t="shared" ref="B98:D98" si="90">(B97/$E$141)*100</f>
        <v>0.02642007926</v>
      </c>
      <c r="C98" s="3">
        <f t="shared" si="90"/>
        <v>0.2113606341</v>
      </c>
      <c r="D98" s="3">
        <f t="shared" si="90"/>
        <v>2.298546896</v>
      </c>
      <c r="E98" s="3">
        <f t="shared" si="91"/>
        <v>2.536327609</v>
      </c>
    </row>
    <row r="99" ht="14.25" customHeight="1">
      <c r="A99" s="1"/>
      <c r="B99" s="3">
        <f t="shared" ref="B99:D99" si="92">(B97/$E$97)*100</f>
        <v>1.041666667</v>
      </c>
      <c r="C99" s="3">
        <f t="shared" si="92"/>
        <v>8.333333333</v>
      </c>
      <c r="D99" s="3">
        <f t="shared" si="92"/>
        <v>90.625</v>
      </c>
    </row>
    <row r="100" ht="14.25" customHeight="1">
      <c r="A100" s="1"/>
      <c r="B100" s="3">
        <f t="shared" ref="B100:D100" si="93">(B97/B141)*100</f>
        <v>0.04073319756</v>
      </c>
      <c r="C100" s="3">
        <f t="shared" si="93"/>
        <v>1.632653061</v>
      </c>
      <c r="D100" s="3">
        <f t="shared" si="93"/>
        <v>10.35714286</v>
      </c>
    </row>
    <row r="101" ht="14.25" customHeight="1">
      <c r="A101" s="1" t="s">
        <v>69</v>
      </c>
      <c r="B101" s="2">
        <f>sum(G101, 116)</f>
        <v>127</v>
      </c>
      <c r="C101" s="2">
        <f>sum(H101, 21)</f>
        <v>22</v>
      </c>
      <c r="D101" s="2">
        <f>sum(I101,12)</f>
        <v>16</v>
      </c>
      <c r="E101" s="2">
        <f t="shared" ref="E101:E102" si="95">SUM(B101:D101)</f>
        <v>165</v>
      </c>
      <c r="G101" s="2">
        <v>11.0</v>
      </c>
      <c r="H101" s="2">
        <v>1.0</v>
      </c>
      <c r="I101" s="2">
        <v>4.0</v>
      </c>
    </row>
    <row r="102" ht="14.25" customHeight="1">
      <c r="A102" s="1"/>
      <c r="B102" s="3">
        <f t="shared" ref="B102:D102" si="94">(B101/$E$141)*100</f>
        <v>3.355350066</v>
      </c>
      <c r="C102" s="3">
        <f t="shared" si="94"/>
        <v>0.5812417437</v>
      </c>
      <c r="D102" s="3">
        <f t="shared" si="94"/>
        <v>0.4227212682</v>
      </c>
      <c r="E102" s="3">
        <f t="shared" si="95"/>
        <v>4.359313078</v>
      </c>
    </row>
    <row r="103" ht="14.25" customHeight="1">
      <c r="A103" s="1"/>
      <c r="B103" s="3">
        <f t="shared" ref="B103:D103" si="96">(B101/$E$101)*100</f>
        <v>76.96969697</v>
      </c>
      <c r="C103" s="3">
        <f t="shared" si="96"/>
        <v>13.33333333</v>
      </c>
      <c r="D103" s="3">
        <f t="shared" si="96"/>
        <v>9.696969697</v>
      </c>
    </row>
    <row r="104" ht="14.25" customHeight="1">
      <c r="A104" s="1"/>
      <c r="B104" s="3">
        <f t="shared" ref="B104:D104" si="97">(B101/B141)*100</f>
        <v>5.17311609</v>
      </c>
      <c r="C104" s="3">
        <f t="shared" si="97"/>
        <v>4.489795918</v>
      </c>
      <c r="D104" s="3">
        <f t="shared" si="97"/>
        <v>1.904761905</v>
      </c>
    </row>
    <row r="105" ht="14.25" customHeight="1">
      <c r="A105" s="1" t="s">
        <v>70</v>
      </c>
      <c r="B105" s="2">
        <f>sum(G105, 30)</f>
        <v>38</v>
      </c>
      <c r="C105" s="2">
        <f>sum(H105, 19)</f>
        <v>24</v>
      </c>
      <c r="D105" s="2">
        <f>sum(I105, 15)</f>
        <v>18</v>
      </c>
      <c r="E105" s="2">
        <f t="shared" ref="E105:E106" si="99">SUM(B105:D105)</f>
        <v>80</v>
      </c>
      <c r="G105" s="2">
        <v>8.0</v>
      </c>
      <c r="H105" s="2">
        <v>5.0</v>
      </c>
      <c r="I105" s="2">
        <v>3.0</v>
      </c>
    </row>
    <row r="106" ht="14.25" customHeight="1">
      <c r="A106" s="1"/>
      <c r="B106" s="3">
        <f t="shared" ref="B106:D106" si="98">(B105/$E$141)*100</f>
        <v>1.003963012</v>
      </c>
      <c r="C106" s="3">
        <f t="shared" si="98"/>
        <v>0.6340819022</v>
      </c>
      <c r="D106" s="3">
        <f t="shared" si="98"/>
        <v>0.4755614267</v>
      </c>
      <c r="E106" s="3">
        <f t="shared" si="99"/>
        <v>2.113606341</v>
      </c>
    </row>
    <row r="107" ht="14.25" customHeight="1">
      <c r="A107" s="1"/>
      <c r="B107" s="3">
        <f t="shared" ref="B107:D107" si="100">(B105/$E$105)*100</f>
        <v>47.5</v>
      </c>
      <c r="C107" s="3">
        <f t="shared" si="100"/>
        <v>30</v>
      </c>
      <c r="D107" s="3">
        <f t="shared" si="100"/>
        <v>22.5</v>
      </c>
    </row>
    <row r="108" ht="14.25" customHeight="1">
      <c r="A108" s="1"/>
      <c r="B108" s="3">
        <f t="shared" ref="B108:D108" si="101">(B105/B141)*100</f>
        <v>1.547861507</v>
      </c>
      <c r="C108" s="3">
        <f t="shared" si="101"/>
        <v>4.897959184</v>
      </c>
      <c r="D108" s="3">
        <f t="shared" si="101"/>
        <v>2.142857143</v>
      </c>
    </row>
    <row r="109" ht="14.25" customHeight="1">
      <c r="A109" s="1" t="s">
        <v>71</v>
      </c>
      <c r="B109" s="2">
        <f>sum(G109, 137)</f>
        <v>150</v>
      </c>
      <c r="C109" s="2">
        <f>sum(H109, 4)</f>
        <v>5</v>
      </c>
      <c r="D109" s="2">
        <f>sum(I109,10)</f>
        <v>12</v>
      </c>
      <c r="E109" s="2">
        <f t="shared" ref="E109:E110" si="103">SUM(B109:D109)</f>
        <v>167</v>
      </c>
      <c r="G109" s="2">
        <v>13.0</v>
      </c>
      <c r="H109" s="2">
        <v>1.0</v>
      </c>
      <c r="I109" s="2">
        <v>2.0</v>
      </c>
    </row>
    <row r="110" ht="14.25" customHeight="1">
      <c r="A110" s="1"/>
      <c r="B110" s="3">
        <f t="shared" ref="B110:D110" si="102">(B109/$E$141)*100</f>
        <v>3.963011889</v>
      </c>
      <c r="C110" s="3">
        <f t="shared" si="102"/>
        <v>0.1321003963</v>
      </c>
      <c r="D110" s="3">
        <f t="shared" si="102"/>
        <v>0.3170409511</v>
      </c>
      <c r="E110" s="3">
        <f t="shared" si="103"/>
        <v>4.412153236</v>
      </c>
    </row>
    <row r="111" ht="14.25" customHeight="1">
      <c r="A111" s="1"/>
      <c r="B111" s="3">
        <f t="shared" ref="B111:D111" si="104">(B109/$E$109)*100</f>
        <v>89.82035928</v>
      </c>
      <c r="C111" s="3">
        <f t="shared" si="104"/>
        <v>2.994011976</v>
      </c>
      <c r="D111" s="3">
        <f t="shared" si="104"/>
        <v>7.185628743</v>
      </c>
    </row>
    <row r="112" ht="14.25" customHeight="1">
      <c r="A112" s="1"/>
      <c r="B112" s="3">
        <f t="shared" ref="B112:D112" si="105">(B109/B141)*100</f>
        <v>6.109979633</v>
      </c>
      <c r="C112" s="3">
        <f t="shared" si="105"/>
        <v>1.020408163</v>
      </c>
      <c r="D112" s="3">
        <f t="shared" si="105"/>
        <v>1.428571429</v>
      </c>
    </row>
    <row r="113" ht="14.25" customHeight="1">
      <c r="A113" s="1" t="s">
        <v>72</v>
      </c>
      <c r="B113" s="2">
        <f>sum(G113, 120)</f>
        <v>126</v>
      </c>
      <c r="C113" s="2">
        <f>sum(H113, 28)</f>
        <v>32</v>
      </c>
      <c r="D113" s="2">
        <f>sum(I113, 23)</f>
        <v>29</v>
      </c>
      <c r="E113" s="2">
        <f t="shared" ref="E113:E114" si="107">SUM(B113:D113)</f>
        <v>187</v>
      </c>
      <c r="G113" s="2">
        <v>6.0</v>
      </c>
      <c r="H113" s="2">
        <v>4.0</v>
      </c>
      <c r="I113" s="2">
        <v>6.0</v>
      </c>
    </row>
    <row r="114" ht="14.25" customHeight="1">
      <c r="A114" s="1"/>
      <c r="B114" s="3">
        <f t="shared" ref="B114:D114" si="106">(B113/$E$141)*100</f>
        <v>3.328929987</v>
      </c>
      <c r="C114" s="3">
        <f t="shared" si="106"/>
        <v>0.8454425363</v>
      </c>
      <c r="D114" s="3">
        <f t="shared" si="106"/>
        <v>0.7661822985</v>
      </c>
      <c r="E114" s="3">
        <f t="shared" si="107"/>
        <v>4.940554822</v>
      </c>
    </row>
    <row r="115" ht="14.25" customHeight="1">
      <c r="A115" s="1"/>
      <c r="B115" s="3">
        <f t="shared" ref="B115:D115" si="108">(B113/$E$113)*100</f>
        <v>67.37967914</v>
      </c>
      <c r="C115" s="3">
        <f t="shared" si="108"/>
        <v>17.11229947</v>
      </c>
      <c r="D115" s="3">
        <f t="shared" si="108"/>
        <v>15.50802139</v>
      </c>
    </row>
    <row r="116" ht="14.25" customHeight="1">
      <c r="A116" s="1"/>
      <c r="B116" s="3">
        <f t="shared" ref="B116:D116" si="109">(B113/B141)*100</f>
        <v>5.132382892</v>
      </c>
      <c r="C116" s="3">
        <f t="shared" si="109"/>
        <v>6.530612245</v>
      </c>
      <c r="D116" s="3">
        <f t="shared" si="109"/>
        <v>3.452380952</v>
      </c>
    </row>
    <row r="117" ht="14.25" customHeight="1">
      <c r="A117" s="1" t="s">
        <v>73</v>
      </c>
      <c r="B117" s="2">
        <f>sum(G117, 145)</f>
        <v>155</v>
      </c>
      <c r="C117" s="2">
        <f>sum(H117, 9)</f>
        <v>10</v>
      </c>
      <c r="D117" s="2">
        <f>sum(I117, 16)</f>
        <v>21</v>
      </c>
      <c r="E117" s="2">
        <f t="shared" ref="E117:E118" si="111">SUM(B117:D117)</f>
        <v>186</v>
      </c>
      <c r="G117" s="2">
        <v>10.0</v>
      </c>
      <c r="H117" s="2">
        <v>1.0</v>
      </c>
      <c r="I117" s="2">
        <v>5.0</v>
      </c>
    </row>
    <row r="118" ht="14.25" customHeight="1">
      <c r="A118" s="1"/>
      <c r="B118" s="3">
        <f t="shared" ref="B118:D118" si="110">(B117/$E$141)*100</f>
        <v>4.095112285</v>
      </c>
      <c r="C118" s="3">
        <f t="shared" si="110"/>
        <v>0.2642007926</v>
      </c>
      <c r="D118" s="3">
        <f t="shared" si="110"/>
        <v>0.5548216645</v>
      </c>
      <c r="E118" s="3">
        <f t="shared" si="111"/>
        <v>4.914134742</v>
      </c>
    </row>
    <row r="119" ht="14.25" customHeight="1">
      <c r="A119" s="1"/>
      <c r="B119" s="3">
        <f t="shared" ref="B119:D119" si="112">(B117/$E$117)*100</f>
        <v>83.33333333</v>
      </c>
      <c r="C119" s="3">
        <f t="shared" si="112"/>
        <v>5.376344086</v>
      </c>
      <c r="D119" s="3">
        <f t="shared" si="112"/>
        <v>11.29032258</v>
      </c>
    </row>
    <row r="120" ht="14.25" customHeight="1">
      <c r="A120" s="1"/>
      <c r="B120" s="3">
        <f t="shared" ref="B120:D120" si="113">(B117/B141)*100</f>
        <v>6.313645621</v>
      </c>
      <c r="C120" s="3">
        <f t="shared" si="113"/>
        <v>2.040816327</v>
      </c>
      <c r="D120" s="3">
        <f t="shared" si="113"/>
        <v>2.5</v>
      </c>
    </row>
    <row r="121" ht="14.25" customHeight="1">
      <c r="A121" s="1" t="s">
        <v>78</v>
      </c>
      <c r="B121" s="2">
        <f>sum(G121, 47)</f>
        <v>59</v>
      </c>
      <c r="C121" s="2">
        <f>sum(H121, 13)</f>
        <v>14</v>
      </c>
      <c r="D121" s="2">
        <f>sum(I121,6)</f>
        <v>9</v>
      </c>
      <c r="E121" s="2">
        <f t="shared" ref="E121:E122" si="115">SUM(B121:D121)</f>
        <v>82</v>
      </c>
      <c r="G121" s="2">
        <v>12.0</v>
      </c>
      <c r="H121" s="2">
        <v>1.0</v>
      </c>
      <c r="I121" s="2">
        <v>3.0</v>
      </c>
    </row>
    <row r="122" ht="14.25" customHeight="1">
      <c r="A122" s="1"/>
      <c r="B122" s="3">
        <f t="shared" ref="B122:D122" si="114">(B121/$E$141)*100</f>
        <v>1.558784676</v>
      </c>
      <c r="C122" s="3">
        <f t="shared" si="114"/>
        <v>0.3698811096</v>
      </c>
      <c r="D122" s="3">
        <f t="shared" si="114"/>
        <v>0.2377807133</v>
      </c>
      <c r="E122" s="3">
        <f t="shared" si="115"/>
        <v>2.166446499</v>
      </c>
    </row>
    <row r="123" ht="14.25" customHeight="1">
      <c r="A123" s="1"/>
      <c r="B123" s="2">
        <f t="shared" ref="B123:D123" si="116">(B121/$E$121)*100</f>
        <v>71.95121951</v>
      </c>
      <c r="C123" s="3">
        <f t="shared" si="116"/>
        <v>17.07317073</v>
      </c>
      <c r="D123" s="3">
        <f t="shared" si="116"/>
        <v>10.97560976</v>
      </c>
    </row>
    <row r="124" ht="14.25" customHeight="1">
      <c r="A124" s="1"/>
      <c r="B124" s="3">
        <f t="shared" ref="B124:D124" si="117">(B121/B141)*100</f>
        <v>2.403258656</v>
      </c>
      <c r="C124" s="3">
        <f t="shared" si="117"/>
        <v>2.857142857</v>
      </c>
      <c r="D124" s="3">
        <f t="shared" si="117"/>
        <v>1.071428571</v>
      </c>
    </row>
    <row r="125" ht="14.25" customHeight="1">
      <c r="A125" s="1" t="s">
        <v>75</v>
      </c>
      <c r="B125" s="2">
        <f>sum(G125,98)</f>
        <v>110</v>
      </c>
      <c r="C125" s="2">
        <f>sum(G125,6)</f>
        <v>18</v>
      </c>
      <c r="D125" s="2">
        <f>sum(I125, 11)</f>
        <v>14</v>
      </c>
      <c r="E125" s="2">
        <f t="shared" ref="E125:E126" si="119">SUM(B125:D125)</f>
        <v>142</v>
      </c>
      <c r="G125" s="2">
        <v>12.0</v>
      </c>
      <c r="H125" s="2">
        <v>1.0</v>
      </c>
      <c r="I125" s="2">
        <v>3.0</v>
      </c>
    </row>
    <row r="126" ht="14.25" customHeight="1">
      <c r="A126" s="1"/>
      <c r="B126" s="3">
        <f t="shared" ref="B126:D126" si="118">(B125/$E$141)*100</f>
        <v>2.906208719</v>
      </c>
      <c r="C126" s="3">
        <f t="shared" si="118"/>
        <v>0.4755614267</v>
      </c>
      <c r="D126" s="3">
        <f t="shared" si="118"/>
        <v>0.3698811096</v>
      </c>
      <c r="E126" s="3">
        <f t="shared" si="119"/>
        <v>3.751651255</v>
      </c>
    </row>
    <row r="127" ht="14.25" customHeight="1">
      <c r="A127" s="1"/>
      <c r="B127" s="3">
        <f t="shared" ref="B127:D127" si="120">(B125/$E$125)*100</f>
        <v>77.46478873</v>
      </c>
      <c r="C127" s="3">
        <f t="shared" si="120"/>
        <v>12.67605634</v>
      </c>
      <c r="D127" s="3">
        <f t="shared" si="120"/>
        <v>9.85915493</v>
      </c>
    </row>
    <row r="128" ht="14.25" customHeight="1">
      <c r="A128" s="1"/>
      <c r="B128" s="3">
        <f t="shared" ref="B128:D128" si="121">(B125/B141)*100</f>
        <v>4.480651731</v>
      </c>
      <c r="C128" s="3">
        <f t="shared" si="121"/>
        <v>3.673469388</v>
      </c>
      <c r="D128" s="3">
        <f t="shared" si="121"/>
        <v>1.666666667</v>
      </c>
    </row>
    <row r="129" ht="14.25" customHeight="1">
      <c r="A129" s="1" t="s">
        <v>83</v>
      </c>
      <c r="B129" s="2">
        <v>19.0</v>
      </c>
      <c r="C129" s="2">
        <v>0.0</v>
      </c>
      <c r="D129" s="2">
        <v>0.0</v>
      </c>
      <c r="E129" s="2">
        <f t="shared" ref="E129:E130" si="123">SUM(B129:D129)</f>
        <v>19</v>
      </c>
      <c r="G129" s="2">
        <v>0.0</v>
      </c>
      <c r="H129" s="2">
        <v>0.0</v>
      </c>
      <c r="I129" s="2">
        <v>0.0</v>
      </c>
    </row>
    <row r="130" ht="14.25" customHeight="1">
      <c r="A130" s="1"/>
      <c r="B130" s="3">
        <f t="shared" ref="B130:D130" si="122">(B129/$E$141)*100</f>
        <v>0.5019815059</v>
      </c>
      <c r="C130" s="16">
        <f t="shared" si="122"/>
        <v>0</v>
      </c>
      <c r="D130" s="16">
        <f t="shared" si="122"/>
        <v>0</v>
      </c>
      <c r="E130" s="3">
        <f t="shared" si="123"/>
        <v>0.5019815059</v>
      </c>
    </row>
    <row r="131" ht="14.25" customHeight="1">
      <c r="A131" s="1"/>
      <c r="B131" s="2">
        <v>100.0</v>
      </c>
      <c r="C131" s="2">
        <v>0.0</v>
      </c>
      <c r="D131" s="2">
        <v>0.0</v>
      </c>
    </row>
    <row r="132" ht="14.25" customHeight="1">
      <c r="A132" s="1"/>
      <c r="B132" s="3">
        <f>(B129/B141)*100</f>
        <v>0.7739307536</v>
      </c>
      <c r="C132" s="2">
        <v>0.0</v>
      </c>
      <c r="D132" s="2">
        <v>0.0</v>
      </c>
    </row>
    <row r="133" ht="14.25" customHeight="1">
      <c r="A133" s="6" t="s">
        <v>76</v>
      </c>
      <c r="B133" s="2">
        <f>sum(G133,27)</f>
        <v>34</v>
      </c>
      <c r="C133" s="2">
        <f>sum(H133,7)</f>
        <v>7</v>
      </c>
      <c r="D133" s="2">
        <f>sum(I133,10)</f>
        <v>18</v>
      </c>
      <c r="E133" s="2">
        <f t="shared" ref="E133:E134" si="125">SUM(B133:D133)</f>
        <v>59</v>
      </c>
      <c r="G133" s="2">
        <v>7.0</v>
      </c>
      <c r="H133" s="2">
        <v>0.0</v>
      </c>
      <c r="I133" s="2">
        <v>8.0</v>
      </c>
    </row>
    <row r="134" ht="14.25" customHeight="1">
      <c r="A134" s="1"/>
      <c r="B134" s="3">
        <f t="shared" ref="B134:D134" si="124">(B133/$E$141)*100</f>
        <v>0.8982826948</v>
      </c>
      <c r="C134" s="3">
        <f t="shared" si="124"/>
        <v>0.1849405548</v>
      </c>
      <c r="D134" s="3">
        <f t="shared" si="124"/>
        <v>0.4755614267</v>
      </c>
      <c r="E134" s="3">
        <f t="shared" si="125"/>
        <v>1.558784676</v>
      </c>
    </row>
    <row r="135" ht="14.25" customHeight="1">
      <c r="A135" s="1"/>
      <c r="B135" s="3">
        <f t="shared" ref="B135:D135" si="126">(B133/$E$133)*100</f>
        <v>57.62711864</v>
      </c>
      <c r="C135" s="3">
        <f t="shared" si="126"/>
        <v>11.86440678</v>
      </c>
      <c r="D135" s="3">
        <f t="shared" si="126"/>
        <v>30.50847458</v>
      </c>
      <c r="E135" s="3"/>
    </row>
    <row r="136" ht="14.25" customHeight="1">
      <c r="A136" s="1"/>
      <c r="B136" s="3">
        <f t="shared" ref="B136:D136" si="127">(B133/B141)*100</f>
        <v>1.384928717</v>
      </c>
      <c r="C136" s="3">
        <f t="shared" si="127"/>
        <v>1.428571429</v>
      </c>
      <c r="D136" s="3">
        <f t="shared" si="127"/>
        <v>2.142857143</v>
      </c>
      <c r="E136" s="3"/>
    </row>
    <row r="137" ht="14.25" customHeight="1">
      <c r="A137" s="1" t="s">
        <v>80</v>
      </c>
      <c r="B137" s="2">
        <v>1.0</v>
      </c>
      <c r="C137" s="2">
        <v>0.0</v>
      </c>
      <c r="D137" s="2">
        <v>0.0</v>
      </c>
      <c r="E137" s="2">
        <f t="shared" ref="E137:E138" si="129">SUM(B137:D137)</f>
        <v>1</v>
      </c>
      <c r="G137" s="2">
        <v>0.0</v>
      </c>
      <c r="H137" s="2">
        <v>0.0</v>
      </c>
      <c r="I137" s="2">
        <v>0.0</v>
      </c>
    </row>
    <row r="138" ht="14.25" customHeight="1">
      <c r="A138" s="1"/>
      <c r="B138" s="3">
        <f t="shared" ref="B138:D138" si="128">(B137/$E$141)*100</f>
        <v>0.02642007926</v>
      </c>
      <c r="C138" s="2">
        <f t="shared" si="128"/>
        <v>0</v>
      </c>
      <c r="D138" s="2">
        <f t="shared" si="128"/>
        <v>0</v>
      </c>
      <c r="E138" s="3">
        <f t="shared" si="129"/>
        <v>0.02642007926</v>
      </c>
    </row>
    <row r="139" ht="14.25" customHeight="1">
      <c r="A139" s="1"/>
      <c r="B139" s="2">
        <v>100.0</v>
      </c>
      <c r="C139" s="2">
        <v>0.0</v>
      </c>
      <c r="D139" s="2">
        <v>0.0</v>
      </c>
    </row>
    <row r="140" ht="14.25" customHeight="1">
      <c r="A140" s="1"/>
      <c r="B140" s="3">
        <f>(B137/B141)*100</f>
        <v>0.04073319756</v>
      </c>
      <c r="C140" s="2">
        <v>0.0</v>
      </c>
      <c r="D140" s="2">
        <v>0.0</v>
      </c>
    </row>
    <row r="141" ht="14.25" customHeight="1">
      <c r="A141" s="1" t="s">
        <v>44</v>
      </c>
      <c r="B141" s="2">
        <f>sum(B4,B8,B12,B20,B16,B24,B28,B36,B40,B44,B48,B56,B60,B65,B69,B73,B77,B81,B85,B89,B93,B97,B101,B105,B109,B113,B117,B121,B125,B129,B133,B137,B52,B32)</f>
        <v>2455</v>
      </c>
      <c r="C141" s="2">
        <f>sum(C4,C8,C12,C16,C20,C24,C28,C36,C40,C44,C48,C56,C60,C65,C69,C73,C77,C81,C85,C89,C93,C97,C101,C105,C109,C113,C117,C121,C125,C129,C133,C137,C52,)</f>
        <v>490</v>
      </c>
      <c r="D141" s="2">
        <f>sum(D4,D8,D12,D16,D20,D24,D28,D36,D40,D44,D48,D56,D60,D65,D69,D73,D77,D81,D85,D89,D93,D97,D101,D105,D109,D113,D117,D121,D125,D129,D133,D137,D52,D32)</f>
        <v>840</v>
      </c>
      <c r="E141" s="2">
        <f t="shared" ref="E141:E142" si="131">SUM(B141:D141)</f>
        <v>3785</v>
      </c>
      <c r="G141" s="2">
        <f>SUM(G4,G8,G12,G16,G20,G24,G28,G32,G40,G44,G48,G52,G56,G60,G64,G69,G73,G77,G81,G85,G89,G93,G97,G101,G105,G109,G113,G117,G121,G125,G133)</f>
        <v>240</v>
      </c>
      <c r="H141" s="2">
        <f>sum(H4,H8,H12,H16,H20,H24,H32,H28,H40,H44,H48,H52,H56,H60,H64,H69,H73,H77,H81,H85,H89,H93,H97,H101,H105,H109,H113,H117,H121,H125,H133)</f>
        <v>73</v>
      </c>
      <c r="I141" s="2">
        <f>sum(I4,I8,I12,I16,I20,I24,I28,I32,I40,I44,I48,I52,I56,I60,I64,I69,I73,I77,I81,I85,I89,I93,I97,I101,I105,I109,I113,I117,I121,I125,I133)</f>
        <v>179</v>
      </c>
    </row>
    <row r="142" ht="14.25" customHeight="1">
      <c r="A142" s="1"/>
      <c r="B142" s="3">
        <f>SUM(B5,B9,B13,B17,B21,B29,B25,B37,B41,B45,B49,B57,B61,B66,B70,B74,B78,B82,B86,B90,B94,B98,B102,B106,B110,B114,B118,B122,B126,B130,B134,B138)</f>
        <v>64.35931308</v>
      </c>
      <c r="C142" s="3">
        <f t="shared" ref="C142:D142" si="130">sum(C5,C9,C13,C17,C21,C25,C29,C37,C41,C45,C49,C57,C61,C66,C70,C74,C78,C82,C86,C90,C94,C98,C102,C106,C110,C114,C118,C122,C126,C130,C134,C138)</f>
        <v>12.78731836</v>
      </c>
      <c r="D142" s="3">
        <f t="shared" si="130"/>
        <v>22.0343461</v>
      </c>
      <c r="E142" s="3">
        <f t="shared" si="131"/>
        <v>99.18097754</v>
      </c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  <row r="1002" ht="14.25" customHeight="1">
      <c r="A1002" s="1"/>
    </row>
    <row r="1003" ht="14.25" customHeight="1">
      <c r="A1003" s="1"/>
    </row>
    <row r="1004" ht="14.25" customHeight="1">
      <c r="A1004" s="1"/>
    </row>
    <row r="1005" ht="14.25" customHeight="1">
      <c r="A1005" s="1"/>
    </row>
    <row r="1006" ht="14.25" customHeight="1">
      <c r="A1006" s="1"/>
    </row>
    <row r="1007" ht="14.25" customHeight="1">
      <c r="A1007" s="1"/>
    </row>
    <row r="1008" ht="14.25" customHeight="1">
      <c r="A1008" s="1"/>
    </row>
    <row r="1009" ht="14.25" customHeight="1">
      <c r="A1009" s="1"/>
    </row>
    <row r="1010" ht="14.25" customHeight="1">
      <c r="A1010" s="1"/>
    </row>
    <row r="1011" ht="14.25" customHeight="1">
      <c r="A1011" s="1"/>
    </row>
    <row r="1012" ht="14.25" customHeight="1">
      <c r="A1012" s="1"/>
    </row>
    <row r="1013" ht="14.25" customHeight="1">
      <c r="A1013" s="1"/>
    </row>
    <row r="1014" ht="14.25" customHeight="1">
      <c r="A1014" s="1"/>
    </row>
    <row r="1015" ht="14.25" customHeight="1">
      <c r="A1015" s="1"/>
    </row>
    <row r="1016" ht="14.25" customHeight="1">
      <c r="A1016" s="1"/>
    </row>
    <row r="1017" ht="14.25" customHeight="1">
      <c r="A1017" s="1"/>
    </row>
    <row r="1018" ht="14.25" customHeight="1">
      <c r="A1018" s="1"/>
    </row>
    <row r="1019" ht="14.25" customHeight="1">
      <c r="A1019" s="1"/>
    </row>
    <row r="1020" ht="14.25" customHeight="1">
      <c r="A1020" s="1"/>
    </row>
    <row r="1021" ht="14.25" customHeight="1">
      <c r="A1021" s="1"/>
    </row>
    <row r="1022" ht="14.25" customHeight="1">
      <c r="A1022" s="1"/>
    </row>
    <row r="1023" ht="14.25" customHeight="1">
      <c r="A1023" s="1"/>
    </row>
    <row r="1024" ht="14.25" customHeight="1">
      <c r="A1024" s="1"/>
    </row>
    <row r="1025" ht="14.25" customHeight="1">
      <c r="A1025" s="1"/>
    </row>
    <row r="1026" ht="14.25" customHeight="1">
      <c r="A1026" s="1"/>
    </row>
    <row r="1027" ht="14.25" customHeight="1">
      <c r="A1027" s="1"/>
    </row>
    <row r="1028" ht="14.25" customHeight="1">
      <c r="A1028" s="1"/>
    </row>
    <row r="1029" ht="14.25" customHeight="1">
      <c r="A1029" s="1"/>
    </row>
    <row r="1030" ht="14.25" customHeight="1">
      <c r="A1030" s="1"/>
    </row>
    <row r="1031" ht="14.25" customHeight="1">
      <c r="A1031" s="1"/>
    </row>
    <row r="1032" ht="14.25" customHeight="1">
      <c r="A1032" s="1"/>
    </row>
    <row r="1033" ht="14.25" customHeight="1">
      <c r="A1033" s="1"/>
    </row>
    <row r="1034" ht="14.25" customHeight="1">
      <c r="A1034" s="1"/>
    </row>
    <row r="1035" ht="14.25" customHeight="1">
      <c r="A1035" s="1"/>
    </row>
    <row r="1036" ht="14.25" customHeight="1">
      <c r="A1036" s="1"/>
    </row>
    <row r="1037" ht="14.25" customHeight="1">
      <c r="A1037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14"/>
    <col customWidth="1" min="2" max="2" width="15.43"/>
    <col customWidth="1" min="3" max="3" width="13.29"/>
    <col customWidth="1" min="4" max="6" width="8.71"/>
    <col customWidth="1" min="7" max="7" width="13.14"/>
    <col customWidth="1" min="8" max="9" width="8.71"/>
    <col customWidth="1" min="10" max="10" width="29.57"/>
    <col customWidth="1" min="11" max="26" width="8.71"/>
  </cols>
  <sheetData>
    <row r="1" ht="14.25" customHeight="1">
      <c r="A1" s="1"/>
    </row>
    <row r="2" ht="14.25" customHeight="1">
      <c r="A2" s="1"/>
      <c r="B2" s="1"/>
      <c r="C2" s="1"/>
      <c r="D2" s="1"/>
      <c r="E2" s="1"/>
    </row>
    <row r="3" ht="14.25" customHeight="1">
      <c r="A3" s="1"/>
      <c r="B3" s="1" t="s">
        <v>84</v>
      </c>
      <c r="C3" s="1" t="s">
        <v>85</v>
      </c>
      <c r="D3" s="1" t="s">
        <v>86</v>
      </c>
      <c r="E3" s="1" t="s">
        <v>4</v>
      </c>
      <c r="G3" s="5">
        <v>2025.0</v>
      </c>
    </row>
    <row r="4" ht="14.25" customHeight="1">
      <c r="A4" s="4" t="s">
        <v>87</v>
      </c>
      <c r="B4" s="2">
        <f>sum(130,G4)</f>
        <v>140</v>
      </c>
      <c r="C4" s="2">
        <f>sum(18,H4)</f>
        <v>19</v>
      </c>
      <c r="D4" s="2">
        <f>sum(24,I4)</f>
        <v>29</v>
      </c>
      <c r="E4" s="2">
        <f t="shared" ref="E4:E10" si="1">SUM(B4:D4)</f>
        <v>188</v>
      </c>
      <c r="G4" s="2">
        <v>10.0</v>
      </c>
      <c r="H4" s="2">
        <v>1.0</v>
      </c>
      <c r="I4" s="2">
        <v>5.0</v>
      </c>
      <c r="J4" s="2" t="s">
        <v>16</v>
      </c>
    </row>
    <row r="5" ht="14.25" customHeight="1">
      <c r="A5" s="1" t="s">
        <v>88</v>
      </c>
      <c r="B5" s="2">
        <f>sum(G5,93)</f>
        <v>101</v>
      </c>
      <c r="C5" s="2">
        <f>sum(H5,34)</f>
        <v>37</v>
      </c>
      <c r="D5" s="2">
        <f>sum(I5,44)</f>
        <v>49</v>
      </c>
      <c r="E5" s="2">
        <f t="shared" si="1"/>
        <v>187</v>
      </c>
      <c r="G5" s="2">
        <v>8.0</v>
      </c>
      <c r="H5" s="2">
        <v>3.0</v>
      </c>
      <c r="I5" s="2">
        <v>5.0</v>
      </c>
    </row>
    <row r="6" ht="14.25" customHeight="1">
      <c r="A6" s="1" t="s">
        <v>89</v>
      </c>
      <c r="B6" s="2">
        <f>sum(G6,97)</f>
        <v>101</v>
      </c>
      <c r="C6" s="2">
        <f>sum(H6,32)</f>
        <v>35</v>
      </c>
      <c r="D6" s="2">
        <f>sum(41,I6)</f>
        <v>50</v>
      </c>
      <c r="E6" s="2">
        <f t="shared" si="1"/>
        <v>186</v>
      </c>
      <c r="G6" s="2">
        <v>4.0</v>
      </c>
      <c r="H6" s="2">
        <v>3.0</v>
      </c>
      <c r="I6" s="2">
        <v>9.0</v>
      </c>
    </row>
    <row r="7" ht="14.25" customHeight="1">
      <c r="A7" s="1" t="s">
        <v>90</v>
      </c>
      <c r="B7" s="2">
        <f>sum(G7,126)</f>
        <v>141</v>
      </c>
      <c r="C7" s="2">
        <f>sum(H7,2)</f>
        <v>2</v>
      </c>
      <c r="D7" s="2">
        <f>sum(I7,5)</f>
        <v>6</v>
      </c>
      <c r="E7" s="2">
        <f t="shared" si="1"/>
        <v>149</v>
      </c>
      <c r="G7" s="2">
        <v>15.0</v>
      </c>
      <c r="H7" s="2">
        <v>0.0</v>
      </c>
      <c r="I7" s="2">
        <v>1.0</v>
      </c>
    </row>
    <row r="8" ht="14.25" customHeight="1">
      <c r="A8" s="1" t="s">
        <v>91</v>
      </c>
      <c r="B8" s="2">
        <f>sum(G8,25)</f>
        <v>34</v>
      </c>
      <c r="C8" s="2">
        <f>sum(H8,12)</f>
        <v>12</v>
      </c>
      <c r="D8" s="2">
        <f>sum(I8,8)</f>
        <v>14</v>
      </c>
      <c r="E8" s="2">
        <f t="shared" si="1"/>
        <v>60</v>
      </c>
      <c r="G8" s="2">
        <v>9.0</v>
      </c>
      <c r="H8" s="2">
        <v>0.0</v>
      </c>
      <c r="I8" s="2">
        <v>6.0</v>
      </c>
    </row>
    <row r="9" ht="14.25" customHeight="1">
      <c r="A9" s="1" t="s">
        <v>92</v>
      </c>
      <c r="B9" s="2">
        <f>sum(G9,98)</f>
        <v>108</v>
      </c>
      <c r="C9" s="2">
        <f>sum(H9,6)</f>
        <v>11</v>
      </c>
      <c r="D9" s="2">
        <f>sum(I9,7)</f>
        <v>8</v>
      </c>
      <c r="E9" s="2">
        <f t="shared" si="1"/>
        <v>127</v>
      </c>
      <c r="G9" s="2">
        <v>10.0</v>
      </c>
      <c r="H9" s="2">
        <v>5.0</v>
      </c>
      <c r="I9" s="2">
        <v>1.0</v>
      </c>
    </row>
    <row r="10" ht="14.25" customHeight="1">
      <c r="A10" s="1" t="s">
        <v>93</v>
      </c>
      <c r="B10" s="2">
        <f>sum(G10,27)</f>
        <v>35</v>
      </c>
      <c r="C10" s="2">
        <f>sum(H10,5)</f>
        <v>7</v>
      </c>
      <c r="D10" s="2">
        <f>sum(I10,2)</f>
        <v>8</v>
      </c>
      <c r="E10" s="2">
        <f t="shared" si="1"/>
        <v>50</v>
      </c>
      <c r="G10" s="2">
        <v>8.0</v>
      </c>
      <c r="H10" s="2">
        <v>2.0</v>
      </c>
      <c r="I10" s="2">
        <v>6.0</v>
      </c>
    </row>
    <row r="11" ht="14.25" customHeight="1">
      <c r="A11" s="1" t="s">
        <v>94</v>
      </c>
      <c r="B11" s="2">
        <v>13.0</v>
      </c>
      <c r="C11" s="2">
        <v>1.0</v>
      </c>
      <c r="D11" s="2">
        <v>2.0</v>
      </c>
      <c r="E11" s="2">
        <v>16.0</v>
      </c>
      <c r="G11" s="2">
        <v>13.0</v>
      </c>
      <c r="H11" s="2">
        <v>1.0</v>
      </c>
      <c r="I11" s="2">
        <v>2.0</v>
      </c>
    </row>
    <row r="12" ht="14.25" customHeight="1">
      <c r="A12" s="1" t="s">
        <v>95</v>
      </c>
      <c r="B12" s="2">
        <v>18.0</v>
      </c>
      <c r="C12" s="2">
        <v>0.0</v>
      </c>
      <c r="D12" s="2">
        <v>0.0</v>
      </c>
      <c r="E12" s="2">
        <f t="shared" ref="E12:E15" si="2">SUM(B12:D12)</f>
        <v>18</v>
      </c>
      <c r="G12" s="2">
        <v>0.0</v>
      </c>
      <c r="H12" s="2">
        <v>0.0</v>
      </c>
      <c r="I12" s="2">
        <v>0.0</v>
      </c>
    </row>
    <row r="13" ht="14.25" customHeight="1">
      <c r="A13" s="1" t="s">
        <v>96</v>
      </c>
      <c r="B13" s="2">
        <f>sum(G13,96)</f>
        <v>108</v>
      </c>
      <c r="C13" s="2">
        <f t="shared" ref="C13:C14" si="3">sum(H13,10)</f>
        <v>10</v>
      </c>
      <c r="D13" s="2">
        <f>sum(I13,17)</f>
        <v>21</v>
      </c>
      <c r="E13" s="2">
        <f t="shared" si="2"/>
        <v>139</v>
      </c>
      <c r="G13" s="2">
        <v>12.0</v>
      </c>
      <c r="H13" s="2">
        <v>0.0</v>
      </c>
      <c r="I13" s="2">
        <v>4.0</v>
      </c>
    </row>
    <row r="14" ht="14.25" customHeight="1">
      <c r="A14" s="1" t="s">
        <v>97</v>
      </c>
      <c r="B14" s="2">
        <f>sum(G14, 110)</f>
        <v>119</v>
      </c>
      <c r="C14" s="2">
        <f t="shared" si="3"/>
        <v>12</v>
      </c>
      <c r="D14" s="2">
        <f>sum(I14, 29)</f>
        <v>34</v>
      </c>
      <c r="E14" s="2">
        <f t="shared" si="2"/>
        <v>165</v>
      </c>
      <c r="G14" s="2">
        <v>9.0</v>
      </c>
      <c r="H14" s="2">
        <v>2.0</v>
      </c>
      <c r="I14" s="2">
        <v>5.0</v>
      </c>
    </row>
    <row r="15" ht="14.25" customHeight="1">
      <c r="A15" s="1" t="s">
        <v>98</v>
      </c>
      <c r="B15" s="2">
        <f>sum(G15,2)</f>
        <v>2</v>
      </c>
      <c r="C15" s="2">
        <f>sum(H15, 31)</f>
        <v>35</v>
      </c>
      <c r="D15" s="2">
        <f>sum(I15, 94)</f>
        <v>106</v>
      </c>
      <c r="E15" s="2">
        <f t="shared" si="2"/>
        <v>143</v>
      </c>
      <c r="G15" s="2">
        <v>0.0</v>
      </c>
      <c r="H15" s="2">
        <v>4.0</v>
      </c>
      <c r="I15" s="2">
        <v>12.0</v>
      </c>
    </row>
    <row r="16" ht="14.25" customHeight="1">
      <c r="A16" s="1" t="s">
        <v>99</v>
      </c>
      <c r="B16" s="2">
        <v>6.0</v>
      </c>
      <c r="C16" s="2">
        <v>6.0</v>
      </c>
      <c r="D16" s="2">
        <v>4.0</v>
      </c>
      <c r="E16" s="2">
        <v>16.0</v>
      </c>
      <c r="G16" s="2">
        <v>6.0</v>
      </c>
      <c r="H16" s="2">
        <v>6.0</v>
      </c>
      <c r="I16" s="2">
        <v>4.0</v>
      </c>
    </row>
    <row r="17" ht="14.25" customHeight="1">
      <c r="A17" s="1" t="s">
        <v>100</v>
      </c>
      <c r="B17" s="2">
        <f>sum(G17, 149)</f>
        <v>160</v>
      </c>
      <c r="C17" s="2">
        <f>sum(H17,12)</f>
        <v>14</v>
      </c>
      <c r="D17" s="2">
        <f>sum(I17,10)</f>
        <v>13</v>
      </c>
      <c r="E17" s="2">
        <f t="shared" ref="E17:E35" si="4">SUM(B17:D17)</f>
        <v>187</v>
      </c>
      <c r="G17" s="2">
        <v>11.0</v>
      </c>
      <c r="H17" s="2">
        <v>2.0</v>
      </c>
      <c r="I17" s="2">
        <v>3.0</v>
      </c>
    </row>
    <row r="18" ht="14.25" customHeight="1">
      <c r="A18" s="1" t="s">
        <v>101</v>
      </c>
      <c r="B18" s="2">
        <f>sum(G18, 18)</f>
        <v>28</v>
      </c>
      <c r="C18" s="2">
        <f>sum(H18, 13)</f>
        <v>15</v>
      </c>
      <c r="D18" s="2">
        <f>sum(I18, 14)</f>
        <v>17</v>
      </c>
      <c r="E18" s="2">
        <f t="shared" si="4"/>
        <v>60</v>
      </c>
      <c r="G18" s="2">
        <v>10.0</v>
      </c>
      <c r="H18" s="2">
        <v>2.0</v>
      </c>
      <c r="I18" s="2">
        <v>3.0</v>
      </c>
    </row>
    <row r="19" ht="14.25" customHeight="1">
      <c r="A19" s="1" t="s">
        <v>102</v>
      </c>
      <c r="B19" s="2">
        <f>sum(G19, 123)</f>
        <v>131</v>
      </c>
      <c r="C19" s="2">
        <f>sum(H18, 9)</f>
        <v>11</v>
      </c>
      <c r="D19" s="2">
        <f>sum(I18, 19)</f>
        <v>22</v>
      </c>
      <c r="E19" s="2">
        <f t="shared" si="4"/>
        <v>164</v>
      </c>
      <c r="G19" s="2">
        <v>8.0</v>
      </c>
      <c r="H19" s="2">
        <v>4.0</v>
      </c>
      <c r="I19" s="2">
        <v>4.0</v>
      </c>
    </row>
    <row r="20" ht="14.25" customHeight="1">
      <c r="A20" s="1" t="s">
        <v>103</v>
      </c>
      <c r="B20" s="2">
        <f>sum(G20, 95)</f>
        <v>96</v>
      </c>
      <c r="C20" s="2">
        <f>sum(H20, 22)</f>
        <v>25</v>
      </c>
      <c r="D20" s="2">
        <f>sum(I20,34)</f>
        <v>46</v>
      </c>
      <c r="E20" s="2">
        <f t="shared" si="4"/>
        <v>167</v>
      </c>
      <c r="G20" s="2">
        <v>1.0</v>
      </c>
      <c r="H20" s="2">
        <v>3.0</v>
      </c>
      <c r="I20" s="2">
        <v>12.0</v>
      </c>
    </row>
    <row r="21" ht="14.25" customHeight="1">
      <c r="A21" s="1" t="s">
        <v>104</v>
      </c>
      <c r="B21" s="2">
        <f>sum(G21, 101)</f>
        <v>113</v>
      </c>
      <c r="C21" s="2">
        <f t="shared" ref="C21:D21" si="5">sum(H21,7)</f>
        <v>10</v>
      </c>
      <c r="D21" s="2">
        <f t="shared" si="5"/>
        <v>8</v>
      </c>
      <c r="E21" s="2">
        <f t="shared" si="4"/>
        <v>131</v>
      </c>
      <c r="G21" s="2">
        <v>12.0</v>
      </c>
      <c r="H21" s="2">
        <v>3.0</v>
      </c>
      <c r="I21" s="2">
        <v>1.0</v>
      </c>
    </row>
    <row r="22" ht="14.25" customHeight="1">
      <c r="A22" s="1" t="s">
        <v>105</v>
      </c>
      <c r="B22" s="2">
        <f>sum(G22, 1)</f>
        <v>1</v>
      </c>
      <c r="C22" s="2">
        <f>sum(H22,10)</f>
        <v>12</v>
      </c>
      <c r="D22" s="2">
        <f>sum(I22, 37)</f>
        <v>51</v>
      </c>
      <c r="E22" s="2">
        <f t="shared" si="4"/>
        <v>64</v>
      </c>
      <c r="G22" s="2">
        <v>0.0</v>
      </c>
      <c r="H22" s="2">
        <v>2.0</v>
      </c>
      <c r="I22" s="2">
        <v>14.0</v>
      </c>
    </row>
    <row r="23" ht="14.25" customHeight="1">
      <c r="A23" s="1" t="s">
        <v>106</v>
      </c>
      <c r="B23" s="2">
        <f>sum(G23,7)</f>
        <v>8</v>
      </c>
      <c r="C23" s="2">
        <f>sum(H23, 18)</f>
        <v>23</v>
      </c>
      <c r="D23" s="2">
        <f>sum(I23, 20)</f>
        <v>29</v>
      </c>
      <c r="E23" s="2">
        <f t="shared" si="4"/>
        <v>60</v>
      </c>
      <c r="G23" s="2">
        <v>1.0</v>
      </c>
      <c r="H23" s="2">
        <v>5.0</v>
      </c>
      <c r="I23" s="2">
        <v>9.0</v>
      </c>
    </row>
    <row r="24" ht="14.25" customHeight="1">
      <c r="A24" s="1" t="s">
        <v>107</v>
      </c>
      <c r="B24" s="2">
        <f>sum(G24, 134)</f>
        <v>146</v>
      </c>
      <c r="C24" s="2">
        <f>sum(H24,7)</f>
        <v>8</v>
      </c>
      <c r="D24" s="2">
        <f>sum(I24,10)</f>
        <v>13</v>
      </c>
      <c r="E24" s="2">
        <f t="shared" si="4"/>
        <v>167</v>
      </c>
      <c r="G24" s="2">
        <v>12.0</v>
      </c>
      <c r="H24" s="2">
        <v>1.0</v>
      </c>
      <c r="I24" s="2">
        <v>3.0</v>
      </c>
    </row>
    <row r="25" ht="14.25" customHeight="1">
      <c r="A25" s="1" t="s">
        <v>108</v>
      </c>
      <c r="B25" s="2">
        <f>sum(G25,5)</f>
        <v>5</v>
      </c>
      <c r="C25" s="2">
        <f>sum(H25,25)</f>
        <v>30</v>
      </c>
      <c r="D25" s="2">
        <f>sum(I25, 50)</f>
        <v>61</v>
      </c>
      <c r="E25" s="2">
        <f t="shared" si="4"/>
        <v>96</v>
      </c>
      <c r="G25" s="2">
        <v>0.0</v>
      </c>
      <c r="H25" s="2">
        <v>5.0</v>
      </c>
      <c r="I25" s="2">
        <v>11.0</v>
      </c>
    </row>
    <row r="26" ht="14.25" customHeight="1">
      <c r="A26" s="1" t="s">
        <v>109</v>
      </c>
      <c r="B26" s="2">
        <f>sum(G26, 19)</f>
        <v>21</v>
      </c>
      <c r="C26" s="2">
        <f>sum(H26,10)</f>
        <v>14</v>
      </c>
      <c r="D26" s="2">
        <f>sum(I26, 14)</f>
        <v>24</v>
      </c>
      <c r="E26" s="2">
        <f t="shared" si="4"/>
        <v>59</v>
      </c>
      <c r="G26" s="2">
        <v>2.0</v>
      </c>
      <c r="H26" s="2">
        <v>4.0</v>
      </c>
      <c r="I26" s="2">
        <v>10.0</v>
      </c>
    </row>
    <row r="27" ht="14.25" customHeight="1">
      <c r="A27" s="1" t="s">
        <v>110</v>
      </c>
      <c r="B27" s="2">
        <f>sum(G27, 1)</f>
        <v>1</v>
      </c>
      <c r="C27" s="2">
        <f>sum(H27,7)</f>
        <v>8</v>
      </c>
      <c r="D27" s="2">
        <f>sum(I27, 72)</f>
        <v>87</v>
      </c>
      <c r="E27" s="2">
        <f t="shared" si="4"/>
        <v>96</v>
      </c>
      <c r="G27" s="2">
        <v>0.0</v>
      </c>
      <c r="H27" s="2">
        <v>1.0</v>
      </c>
      <c r="I27" s="2">
        <v>15.0</v>
      </c>
    </row>
    <row r="28" ht="14.25" customHeight="1">
      <c r="A28" s="1" t="s">
        <v>111</v>
      </c>
      <c r="B28" s="2">
        <f>sum(G28, 116)</f>
        <v>127</v>
      </c>
      <c r="C28" s="2">
        <f>sum(H28, 21)</f>
        <v>22</v>
      </c>
      <c r="D28" s="2">
        <f>sum(I28,12)</f>
        <v>16</v>
      </c>
      <c r="E28" s="2">
        <f t="shared" si="4"/>
        <v>165</v>
      </c>
      <c r="G28" s="2">
        <v>11.0</v>
      </c>
      <c r="H28" s="2">
        <v>1.0</v>
      </c>
      <c r="I28" s="2">
        <v>4.0</v>
      </c>
    </row>
    <row r="29" ht="14.25" customHeight="1">
      <c r="A29" s="1" t="s">
        <v>112</v>
      </c>
      <c r="B29" s="2">
        <f>sum(G29, 30)</f>
        <v>38</v>
      </c>
      <c r="C29" s="2">
        <f>sum(H29, 19)</f>
        <v>24</v>
      </c>
      <c r="D29" s="2">
        <f>sum(I29, 15)</f>
        <v>18</v>
      </c>
      <c r="E29" s="2">
        <f t="shared" si="4"/>
        <v>80</v>
      </c>
      <c r="G29" s="2">
        <v>8.0</v>
      </c>
      <c r="H29" s="2">
        <v>5.0</v>
      </c>
      <c r="I29" s="2">
        <v>3.0</v>
      </c>
    </row>
    <row r="30" ht="14.25" customHeight="1">
      <c r="A30" s="1" t="s">
        <v>113</v>
      </c>
      <c r="B30" s="2">
        <f>sum(G30, 137)</f>
        <v>150</v>
      </c>
      <c r="C30" s="2">
        <f>sum(H30, 4)</f>
        <v>5</v>
      </c>
      <c r="D30" s="2">
        <f>sum(I30,10)</f>
        <v>12</v>
      </c>
      <c r="E30" s="2">
        <f t="shared" si="4"/>
        <v>167</v>
      </c>
      <c r="G30" s="2">
        <v>13.0</v>
      </c>
      <c r="H30" s="2">
        <v>1.0</v>
      </c>
      <c r="I30" s="2">
        <v>2.0</v>
      </c>
    </row>
    <row r="31" ht="14.25" customHeight="1">
      <c r="A31" s="1" t="s">
        <v>114</v>
      </c>
      <c r="B31" s="2">
        <f>sum(G31, 120)</f>
        <v>126</v>
      </c>
      <c r="C31" s="2">
        <f>sum(H31, 28)</f>
        <v>32</v>
      </c>
      <c r="D31" s="2">
        <f>sum(I31, 23)</f>
        <v>29</v>
      </c>
      <c r="E31" s="2">
        <f t="shared" si="4"/>
        <v>187</v>
      </c>
      <c r="G31" s="2">
        <v>6.0</v>
      </c>
      <c r="H31" s="2">
        <v>4.0</v>
      </c>
      <c r="I31" s="2">
        <v>6.0</v>
      </c>
    </row>
    <row r="32" ht="14.25" customHeight="1">
      <c r="A32" s="1" t="s">
        <v>115</v>
      </c>
      <c r="B32" s="2">
        <f>sum(G32, 145)</f>
        <v>155</v>
      </c>
      <c r="C32" s="2">
        <f>sum(H32, 9)</f>
        <v>10</v>
      </c>
      <c r="D32" s="2">
        <f>sum(I32, 16)</f>
        <v>21</v>
      </c>
      <c r="E32" s="2">
        <f t="shared" si="4"/>
        <v>186</v>
      </c>
      <c r="G32" s="2">
        <v>10.0</v>
      </c>
      <c r="H32" s="2">
        <v>1.0</v>
      </c>
      <c r="I32" s="2">
        <v>5.0</v>
      </c>
    </row>
    <row r="33" ht="14.25" customHeight="1">
      <c r="A33" s="1" t="s">
        <v>116</v>
      </c>
      <c r="B33" s="2">
        <f>sum(G33, 47)</f>
        <v>59</v>
      </c>
      <c r="C33" s="2">
        <f>sum(H33, 13)</f>
        <v>14</v>
      </c>
      <c r="D33" s="2">
        <f>sum(I33,6)</f>
        <v>9</v>
      </c>
      <c r="E33" s="2">
        <f t="shared" si="4"/>
        <v>82</v>
      </c>
      <c r="G33" s="2">
        <v>12.0</v>
      </c>
      <c r="H33" s="2">
        <v>1.0</v>
      </c>
      <c r="I33" s="2">
        <v>3.0</v>
      </c>
    </row>
    <row r="34" ht="14.25" customHeight="1">
      <c r="A34" s="1" t="s">
        <v>117</v>
      </c>
      <c r="B34" s="2">
        <f>sum(G34,98)</f>
        <v>110</v>
      </c>
      <c r="C34" s="2">
        <f>sum(G34,6)</f>
        <v>18</v>
      </c>
      <c r="D34" s="2">
        <f>sum(I34, 11)</f>
        <v>14</v>
      </c>
      <c r="E34" s="2">
        <f t="shared" si="4"/>
        <v>142</v>
      </c>
      <c r="G34" s="2">
        <v>12.0</v>
      </c>
      <c r="H34" s="2">
        <v>1.0</v>
      </c>
      <c r="I34" s="2">
        <v>3.0</v>
      </c>
    </row>
    <row r="35" ht="14.25" customHeight="1">
      <c r="A35" s="1" t="s">
        <v>118</v>
      </c>
      <c r="B35" s="2">
        <f>sum(G35,27)</f>
        <v>34</v>
      </c>
      <c r="C35" s="2">
        <f>sum(H35,7)</f>
        <v>7</v>
      </c>
      <c r="D35" s="2">
        <f>sum(I35,10)</f>
        <v>18</v>
      </c>
      <c r="E35" s="2">
        <f t="shared" si="4"/>
        <v>59</v>
      </c>
      <c r="G35" s="2">
        <v>7.0</v>
      </c>
      <c r="H35" s="2">
        <v>0.0</v>
      </c>
      <c r="I35" s="2">
        <v>8.0</v>
      </c>
    </row>
    <row r="36" ht="14.25" customHeight="1">
      <c r="A36" s="1" t="s">
        <v>119</v>
      </c>
      <c r="B36" s="2">
        <v>19.0</v>
      </c>
      <c r="C36" s="2"/>
      <c r="D36" s="2"/>
      <c r="E36" s="2"/>
      <c r="G36" s="2"/>
      <c r="H36" s="2"/>
      <c r="I36" s="2"/>
    </row>
    <row r="37" ht="14.25" customHeight="1">
      <c r="A37" s="1" t="s">
        <v>44</v>
      </c>
      <c r="B37" s="2">
        <f>SUM(B4:B36)</f>
        <v>2454</v>
      </c>
      <c r="C37" s="2">
        <f t="shared" ref="C37:D37" si="6">SUM(C4:C35)</f>
        <v>489</v>
      </c>
      <c r="D37" s="2">
        <f t="shared" si="6"/>
        <v>839</v>
      </c>
      <c r="E37" s="2">
        <f>SUM(B37:D37)</f>
        <v>3782</v>
      </c>
      <c r="G37" s="2">
        <f>SUM(G4:G35)</f>
        <v>240</v>
      </c>
      <c r="H37" s="2">
        <f>sum(H4:H35)</f>
        <v>73</v>
      </c>
      <c r="I37" s="2">
        <f>SUM(I4:I35)</f>
        <v>179</v>
      </c>
    </row>
    <row r="38" ht="14.25" customHeight="1">
      <c r="A38" s="1"/>
      <c r="B38" s="3"/>
      <c r="C38" s="3"/>
      <c r="D38" s="3"/>
      <c r="E38" s="3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2022-08-17T19:17:29Z</dcterms:created>
  <dc:creator>12053</dc:creator>
</cp:coreProperties>
</file>